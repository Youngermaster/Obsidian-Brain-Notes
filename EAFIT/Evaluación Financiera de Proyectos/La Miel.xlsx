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ungermaster/GitHub/Youngermaster/Obsidian-Brain-Notes/EAFIT/Evaluación Financiera de Proyectos/"/>
    </mc:Choice>
  </mc:AlternateContent>
  <xr:revisionPtr revIDLastSave="0" documentId="13_ncr:1_{1B84BBF4-BA2D-8441-8FA8-DB0622AD37BA}" xr6:coauthVersionLast="47" xr6:coauthVersionMax="47" xr10:uidLastSave="{00000000-0000-0000-0000-000000000000}"/>
  <bookViews>
    <workbookView xWindow="0" yWindow="760" windowWidth="30240" windowHeight="18880" activeTab="1" xr2:uid="{253FAEAC-4E3B-2147-AD7F-8651762FA85C}"/>
  </bookViews>
  <sheets>
    <sheet name="La Miel" sheetId="1" r:id="rId1"/>
    <sheet name="Yahoo Finanza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I7" i="1"/>
  <c r="C10" i="1"/>
  <c r="I4" i="1"/>
  <c r="G14" i="2"/>
  <c r="H12" i="2"/>
  <c r="G9" i="2"/>
  <c r="G8" i="2"/>
  <c r="G7" i="2"/>
  <c r="G4" i="2"/>
  <c r="B13" i="1"/>
  <c r="C11" i="1"/>
  <c r="C8" i="1"/>
  <c r="D11" i="1" s="1"/>
  <c r="B8" i="1"/>
  <c r="B70" i="1"/>
  <c r="B30" i="1"/>
  <c r="B31" i="1" s="1"/>
  <c r="C29" i="1"/>
  <c r="F28" i="1"/>
  <c r="D28" i="1"/>
  <c r="E28" i="1"/>
  <c r="C28" i="1"/>
  <c r="D69" i="1"/>
  <c r="B71" i="1"/>
  <c r="B72" i="1"/>
  <c r="B61" i="1"/>
  <c r="B63" i="1" s="1"/>
  <c r="C72" i="1" s="1"/>
  <c r="I32" i="1"/>
  <c r="B49" i="1"/>
  <c r="E51" i="1" s="1"/>
  <c r="C35" i="1"/>
  <c r="D35" i="1" s="1"/>
  <c r="C31" i="1" l="1"/>
  <c r="C12" i="1"/>
  <c r="C13" i="1" s="1"/>
  <c r="D10" i="1"/>
  <c r="D8" i="1" s="1"/>
  <c r="D12" i="1"/>
  <c r="C27" i="1"/>
  <c r="D27" i="1" s="1"/>
  <c r="B36" i="1"/>
  <c r="B73" i="1"/>
  <c r="B53" i="1"/>
  <c r="D51" i="1"/>
  <c r="D53" i="1" s="1"/>
  <c r="C52" i="1"/>
  <c r="E52" i="1"/>
  <c r="E50" i="1"/>
  <c r="E35" i="1"/>
  <c r="C36" i="1"/>
  <c r="C51" i="1"/>
  <c r="E11" i="1" l="1"/>
  <c r="D13" i="1"/>
  <c r="D29" i="1"/>
  <c r="D31" i="1" s="1"/>
  <c r="D36" i="1" s="1"/>
  <c r="E10" i="1"/>
  <c r="E8" i="1" s="1"/>
  <c r="E53" i="1"/>
  <c r="E29" i="1"/>
  <c r="E31" i="1" s="1"/>
  <c r="E36" i="1" s="1"/>
  <c r="E27" i="1"/>
  <c r="F27" i="1" s="1"/>
  <c r="E72" i="1"/>
  <c r="F72" i="1" s="1"/>
  <c r="E69" i="1"/>
  <c r="F69" i="1" s="1"/>
  <c r="E71" i="1"/>
  <c r="E70" i="1"/>
  <c r="C53" i="1"/>
  <c r="F35" i="1"/>
  <c r="E12" i="1" l="1"/>
  <c r="E13" i="1" s="1"/>
  <c r="B54" i="1"/>
  <c r="C71" i="1" s="1"/>
  <c r="D71" i="1" s="1"/>
  <c r="F71" i="1" s="1"/>
  <c r="F29" i="1"/>
  <c r="F31" i="1" s="1"/>
  <c r="B32" i="1" s="1"/>
  <c r="B34" i="1" s="1"/>
  <c r="C70" i="1" s="1"/>
  <c r="D70" i="1" s="1"/>
  <c r="F70" i="1" s="1"/>
  <c r="E73" i="1"/>
  <c r="F73" i="1" l="1"/>
  <c r="F36" i="1"/>
  <c r="B37" i="1" s="1"/>
</calcChain>
</file>

<file path=xl/sharedStrings.xml><?xml version="1.0" encoding="utf-8"?>
<sst xmlns="http://schemas.openxmlformats.org/spreadsheetml/2006/main" count="78" uniqueCount="54">
  <si>
    <t>Año</t>
  </si>
  <si>
    <t>Saldo</t>
  </si>
  <si>
    <t>Amortización</t>
  </si>
  <si>
    <t>Interés</t>
  </si>
  <si>
    <t>Comisión Inicial</t>
  </si>
  <si>
    <t>Flujo del Préstamo</t>
  </si>
  <si>
    <t>Costo de la deuda USD</t>
  </si>
  <si>
    <t>Devaluación</t>
  </si>
  <si>
    <t>Costo de la deuda</t>
  </si>
  <si>
    <t>TRM</t>
  </si>
  <si>
    <t>Costo de la deuda COP</t>
  </si>
  <si>
    <t>Emisión de bonos</t>
  </si>
  <si>
    <t>Valor de la emisión</t>
  </si>
  <si>
    <t>Valor Nominal</t>
  </si>
  <si>
    <t>Plazo [años]</t>
  </si>
  <si>
    <t>Tasa de Interés</t>
  </si>
  <si>
    <t>Comisión por emisión</t>
  </si>
  <si>
    <t>Venta del bono</t>
  </si>
  <si>
    <t>Redención</t>
  </si>
  <si>
    <t>Flujo del bono</t>
  </si>
  <si>
    <t>Utilidades Retenidas</t>
  </si>
  <si>
    <t>D1</t>
  </si>
  <si>
    <t>Dividendos</t>
  </si>
  <si>
    <t>Crecimiento del Dividendo</t>
  </si>
  <si>
    <t>Costo de las UR</t>
  </si>
  <si>
    <t>Prestamo bancario en dólares</t>
  </si>
  <si>
    <t>Valor del prestamo</t>
  </si>
  <si>
    <t>Costo Promedio Ponderado del Capital</t>
  </si>
  <si>
    <t>Fuente</t>
  </si>
  <si>
    <t>Préstamo bancario en dólares</t>
  </si>
  <si>
    <t>Préstamo bancario en pesos</t>
  </si>
  <si>
    <t>Monto</t>
  </si>
  <si>
    <t>Cd_bruto</t>
  </si>
  <si>
    <t>Cd_neto</t>
  </si>
  <si>
    <t>Participación</t>
  </si>
  <si>
    <t>Ponderación</t>
  </si>
  <si>
    <t>TOTAL FUENTES</t>
  </si>
  <si>
    <t>Spread</t>
  </si>
  <si>
    <t>PRIME</t>
  </si>
  <si>
    <t>Prestamo bancario en pesos</t>
  </si>
  <si>
    <t>Comisión de Manejo</t>
  </si>
  <si>
    <t>Cuota</t>
  </si>
  <si>
    <t>C. de Manejo</t>
  </si>
  <si>
    <t>Dividendo anual por acción (USD)</t>
  </si>
  <si>
    <t>Incremento YoY aprox.</t>
  </si>
  <si>
    <t>P0</t>
  </si>
  <si>
    <t>Div hoy</t>
  </si>
  <si>
    <t>Crecimiento</t>
  </si>
  <si>
    <t>n</t>
  </si>
  <si>
    <t>EA</t>
  </si>
  <si>
    <t>para todo el período</t>
  </si>
  <si>
    <t>Calcular</t>
  </si>
  <si>
    <t>Próximo Dividendo</t>
  </si>
  <si>
    <t>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</si>
</sst>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2" formatCode="_-&quot;$&quot;* #,##0_-;\-&quot;$&quot;* #,##0_-;_-&quot;$&quot;* &quot;-&quot;_-;_-@_-"/>
    <numFmt numFmtId="168" formatCode="[$USD]\ #,##0"/>
    <numFmt numFmtId="170" formatCode="_-&quot;$&quot;* #,##0.00_-;\-&quot;$&quot;* #,##0.00_-;_-&quot;$&quot;* &quot;-&quot;_-;_-@_-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10" fontId="0" fillId="0" borderId="0" xfId="0" applyNumberFormat="1"/>
    <xf numFmtId="42" fontId="0" fillId="0" borderId="0" xfId="1" applyFont="1"/>
    <xf numFmtId="170" fontId="0" fillId="0" borderId="0" xfId="1" applyNumberFormat="1" applyFont="1"/>
    <xf numFmtId="0" fontId="2" fillId="0" borderId="0" xfId="0" applyFont="1"/>
    <xf numFmtId="10" fontId="2" fillId="0" borderId="0" xfId="0" applyNumberFormat="1" applyFont="1"/>
    <xf numFmtId="0" fontId="0" fillId="0" borderId="1" xfId="0" applyBorder="1"/>
    <xf numFmtId="42" fontId="0" fillId="0" borderId="1" xfId="1" applyFont="1" applyBorder="1"/>
    <xf numFmtId="9" fontId="0" fillId="0" borderId="1" xfId="0" applyNumberFormat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2" fillId="0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10" fontId="2" fillId="3" borderId="1" xfId="1" applyNumberFormat="1" applyFont="1" applyFill="1" applyBorder="1"/>
    <xf numFmtId="168" fontId="0" fillId="0" borderId="1" xfId="0" applyNumberFormat="1" applyBorder="1"/>
    <xf numFmtId="168" fontId="0" fillId="0" borderId="1" xfId="0" applyNumberFormat="1" applyFill="1" applyBorder="1"/>
    <xf numFmtId="10" fontId="2" fillId="3" borderId="1" xfId="0" applyNumberFormat="1" applyFont="1" applyFill="1" applyBorder="1"/>
    <xf numFmtId="10" fontId="0" fillId="0" borderId="1" xfId="0" applyNumberFormat="1" applyBorder="1"/>
    <xf numFmtId="170" fontId="0" fillId="0" borderId="1" xfId="1" applyNumberFormat="1" applyFont="1" applyBorder="1"/>
    <xf numFmtId="9" fontId="0" fillId="0" borderId="0" xfId="2" applyFont="1"/>
    <xf numFmtId="10" fontId="0" fillId="0" borderId="0" xfId="2" applyNumberFormat="1" applyFont="1"/>
    <xf numFmtId="10" fontId="2" fillId="3" borderId="1" xfId="2" applyNumberFormat="1" applyFont="1" applyFill="1" applyBorder="1"/>
    <xf numFmtId="9" fontId="0" fillId="0" borderId="1" xfId="1" applyNumberFormat="1" applyFont="1" applyBorder="1"/>
    <xf numFmtId="42" fontId="0" fillId="0" borderId="1" xfId="0" applyNumberFormat="1" applyBorder="1"/>
    <xf numFmtId="0" fontId="0" fillId="0" borderId="0" xfId="0" applyBorder="1"/>
    <xf numFmtId="0" fontId="3" fillId="2" borderId="2" xfId="0" applyFont="1" applyFill="1" applyBorder="1" applyAlignment="1">
      <alignment horizontal="center" vertical="center"/>
    </xf>
    <xf numFmtId="0" fontId="0" fillId="3" borderId="1" xfId="0" applyFill="1" applyBorder="1"/>
    <xf numFmtId="42" fontId="0" fillId="3" borderId="1" xfId="1" applyFont="1" applyFill="1" applyBorder="1"/>
    <xf numFmtId="10" fontId="0" fillId="0" borderId="1" xfId="2" applyNumberFormat="1" applyFont="1" applyBorder="1"/>
    <xf numFmtId="42" fontId="2" fillId="3" borderId="1" xfId="0" applyNumberFormat="1" applyFont="1" applyFill="1" applyBorder="1"/>
    <xf numFmtId="0" fontId="0" fillId="0" borderId="1" xfId="0" applyBorder="1" applyAlignment="1">
      <alignment horizontal="center"/>
    </xf>
    <xf numFmtId="9" fontId="2" fillId="3" borderId="1" xfId="2" applyNumberFormat="1" applyFont="1" applyFill="1" applyBorder="1"/>
    <xf numFmtId="10" fontId="0" fillId="3" borderId="1" xfId="0" applyNumberFormat="1" applyFill="1" applyBorder="1"/>
    <xf numFmtId="9" fontId="0" fillId="0" borderId="1" xfId="2" applyFont="1" applyBorder="1"/>
    <xf numFmtId="42" fontId="0" fillId="0" borderId="1" xfId="1" applyFont="1" applyFill="1" applyBorder="1"/>
    <xf numFmtId="0" fontId="0" fillId="0" borderId="0" xfId="0" applyAlignment="1">
      <alignment horizontal="center" vertical="center" wrapText="1"/>
    </xf>
    <xf numFmtId="8" fontId="0" fillId="0" borderId="0" xfId="0" applyNumberFormat="1"/>
    <xf numFmtId="10" fontId="2" fillId="0" borderId="0" xfId="2" applyNumberFormat="1" applyFont="1"/>
    <xf numFmtId="0" fontId="0" fillId="4" borderId="1" xfId="0" applyFill="1" applyBorder="1"/>
    <xf numFmtId="10" fontId="0" fillId="4" borderId="1" xfId="0" applyNumberFormat="1" applyFill="1" applyBorder="1"/>
    <xf numFmtId="42" fontId="0" fillId="0" borderId="0" xfId="0" applyNumberFormat="1"/>
  </cellXfs>
  <cellStyles count="3">
    <cellStyle name="Currency [0]" xfId="1" builtinId="7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F8893-1653-E24C-B462-0033959752F8}">
  <dimension ref="A2:I76"/>
  <sheetViews>
    <sheetView zoomScale="150" zoomScaleNormal="150" workbookViewId="0">
      <selection activeCell="F5" sqref="F5"/>
    </sheetView>
  </sheetViews>
  <sheetFormatPr baseColWidth="10" defaultRowHeight="16" x14ac:dyDescent="0.2"/>
  <cols>
    <col min="1" max="1" width="25.33203125" bestFit="1" customWidth="1"/>
    <col min="2" max="2" width="23.33203125" bestFit="1" customWidth="1"/>
    <col min="3" max="6" width="13.6640625" bestFit="1" customWidth="1"/>
    <col min="9" max="9" width="12.5" bestFit="1" customWidth="1"/>
  </cols>
  <sheetData>
    <row r="2" spans="1:9" x14ac:dyDescent="0.2">
      <c r="A2" s="9" t="s">
        <v>39</v>
      </c>
      <c r="B2" s="9"/>
    </row>
    <row r="3" spans="1:9" x14ac:dyDescent="0.2">
      <c r="A3" s="9"/>
      <c r="B3" s="9"/>
    </row>
    <row r="4" spans="1:9" x14ac:dyDescent="0.2">
      <c r="A4" s="6" t="s">
        <v>26</v>
      </c>
      <c r="B4" s="7">
        <v>200000000</v>
      </c>
      <c r="I4" s="20">
        <f>93461000/B8</f>
        <v>0.46730500000000003</v>
      </c>
    </row>
    <row r="5" spans="1:9" x14ac:dyDescent="0.2">
      <c r="A5" s="6" t="s">
        <v>15</v>
      </c>
      <c r="B5" s="23">
        <v>0.19</v>
      </c>
    </row>
    <row r="6" spans="1:9" x14ac:dyDescent="0.2">
      <c r="A6" s="6" t="s">
        <v>40</v>
      </c>
      <c r="B6" s="34">
        <v>0.02</v>
      </c>
    </row>
    <row r="7" spans="1:9" x14ac:dyDescent="0.2">
      <c r="A7" s="12" t="s">
        <v>0</v>
      </c>
      <c r="B7" s="13">
        <v>0</v>
      </c>
      <c r="C7" s="13">
        <v>1</v>
      </c>
      <c r="D7" s="13">
        <v>2</v>
      </c>
      <c r="E7" s="13">
        <v>3</v>
      </c>
      <c r="F7" s="13"/>
      <c r="I7" s="41">
        <f>(B8/3)*(1+B5)</f>
        <v>79333333.333333328</v>
      </c>
    </row>
    <row r="8" spans="1:9" x14ac:dyDescent="0.2">
      <c r="A8" s="6" t="s">
        <v>1</v>
      </c>
      <c r="B8" s="7">
        <f>B4</f>
        <v>200000000</v>
      </c>
      <c r="C8" s="7">
        <f>B8-C10</f>
        <v>150000000</v>
      </c>
      <c r="D8" s="7">
        <f t="shared" ref="D8:F8" si="0">C8-D10</f>
        <v>131520000</v>
      </c>
      <c r="E8" s="7">
        <f>D8-E10</f>
        <v>115316736</v>
      </c>
      <c r="F8" s="7"/>
    </row>
    <row r="9" spans="1:9" x14ac:dyDescent="0.2">
      <c r="A9" s="6" t="s">
        <v>41</v>
      </c>
      <c r="B9" s="7"/>
      <c r="C9" s="7">
        <v>93461579</v>
      </c>
      <c r="D9" s="7">
        <v>93461579</v>
      </c>
      <c r="E9" s="7">
        <v>93461579</v>
      </c>
      <c r="F9" s="7"/>
    </row>
    <row r="10" spans="1:9" x14ac:dyDescent="0.2">
      <c r="A10" s="6" t="s">
        <v>2</v>
      </c>
      <c r="B10" s="7"/>
      <c r="C10" s="7">
        <f>$B$8/4</f>
        <v>50000000</v>
      </c>
      <c r="D10" s="7">
        <f>C8*$B$22</f>
        <v>18480000</v>
      </c>
      <c r="E10" s="7">
        <f>D8*$B$22</f>
        <v>16203264</v>
      </c>
      <c r="F10" s="7"/>
    </row>
    <row r="11" spans="1:9" x14ac:dyDescent="0.2">
      <c r="A11" s="6" t="s">
        <v>3</v>
      </c>
      <c r="B11" s="7"/>
      <c r="C11" s="7">
        <f>(B8)*$B$5</f>
        <v>38000000</v>
      </c>
      <c r="D11" s="7">
        <f t="shared" ref="D11:F11" si="1">(C8)*$B$5</f>
        <v>28500000</v>
      </c>
      <c r="E11" s="7">
        <f t="shared" si="1"/>
        <v>24988800</v>
      </c>
      <c r="F11" s="7"/>
    </row>
    <row r="12" spans="1:9" x14ac:dyDescent="0.2">
      <c r="A12" s="10" t="s">
        <v>42</v>
      </c>
      <c r="B12" s="35"/>
      <c r="C12" s="35">
        <f>C8*$B$6</f>
        <v>3000000</v>
      </c>
      <c r="D12" s="35">
        <f t="shared" ref="D12:F12" si="2">D8*$B$6</f>
        <v>2630400</v>
      </c>
      <c r="E12" s="35">
        <f t="shared" si="2"/>
        <v>2306334.7200000002</v>
      </c>
      <c r="F12" s="35"/>
    </row>
    <row r="13" spans="1:9" x14ac:dyDescent="0.2">
      <c r="A13" s="6" t="s">
        <v>5</v>
      </c>
      <c r="B13" s="7">
        <f>B8-SUM(B9:B12)</f>
        <v>200000000</v>
      </c>
      <c r="C13" s="7">
        <f t="shared" ref="C13:F13" si="3">C8-SUM(C9:C12)</f>
        <v>-34461579</v>
      </c>
      <c r="D13" s="7">
        <f t="shared" si="3"/>
        <v>-11551979</v>
      </c>
      <c r="E13" s="7">
        <f t="shared" si="3"/>
        <v>-21643241.719999999</v>
      </c>
      <c r="F13" s="7"/>
    </row>
    <row r="14" spans="1:9" x14ac:dyDescent="0.2">
      <c r="A14" s="12" t="s">
        <v>8</v>
      </c>
      <c r="B14" s="17">
        <f>IRR(B13:E13)</f>
        <v>-0.41399572612065638</v>
      </c>
      <c r="C14" s="6"/>
      <c r="D14" s="6"/>
      <c r="E14" s="6"/>
      <c r="F14" s="6"/>
    </row>
    <row r="17" spans="1:9" x14ac:dyDescent="0.2">
      <c r="A17" s="9" t="s">
        <v>25</v>
      </c>
      <c r="B17" s="9"/>
    </row>
    <row r="18" spans="1:9" x14ac:dyDescent="0.2">
      <c r="A18" s="9"/>
      <c r="B18" s="9"/>
    </row>
    <row r="19" spans="1:9" x14ac:dyDescent="0.2">
      <c r="A19" s="6" t="s">
        <v>26</v>
      </c>
      <c r="B19" s="15">
        <v>120000</v>
      </c>
    </row>
    <row r="20" spans="1:9" x14ac:dyDescent="0.2">
      <c r="A20" s="6" t="s">
        <v>38</v>
      </c>
      <c r="B20" s="23">
        <v>0.04</v>
      </c>
    </row>
    <row r="21" spans="1:9" x14ac:dyDescent="0.2">
      <c r="A21" s="6" t="s">
        <v>37</v>
      </c>
      <c r="B21" s="34">
        <v>0.08</v>
      </c>
    </row>
    <row r="22" spans="1:9" x14ac:dyDescent="0.2">
      <c r="A22" s="6" t="s">
        <v>15</v>
      </c>
      <c r="B22" s="18">
        <v>0.1232</v>
      </c>
    </row>
    <row r="23" spans="1:9" x14ac:dyDescent="0.2">
      <c r="A23" s="6" t="s">
        <v>4</v>
      </c>
      <c r="B23" s="8">
        <v>0.02</v>
      </c>
    </row>
    <row r="24" spans="1:9" x14ac:dyDescent="0.2">
      <c r="A24" s="10" t="s">
        <v>9</v>
      </c>
      <c r="B24" s="7">
        <v>1800</v>
      </c>
    </row>
    <row r="26" spans="1:9" x14ac:dyDescent="0.2">
      <c r="A26" s="12" t="s">
        <v>0</v>
      </c>
      <c r="B26" s="13">
        <v>0</v>
      </c>
      <c r="C26" s="13">
        <v>1</v>
      </c>
      <c r="D26" s="13">
        <v>2</v>
      </c>
      <c r="E26" s="13">
        <v>3</v>
      </c>
      <c r="F26" s="13">
        <v>4</v>
      </c>
    </row>
    <row r="27" spans="1:9" x14ac:dyDescent="0.2">
      <c r="A27" s="6" t="s">
        <v>1</v>
      </c>
      <c r="B27" s="15">
        <v>120000</v>
      </c>
      <c r="C27" s="15">
        <f>B27-C28</f>
        <v>90000</v>
      </c>
      <c r="D27" s="15">
        <f t="shared" ref="D27:F27" si="4">C27-D28</f>
        <v>60000</v>
      </c>
      <c r="E27" s="15">
        <f t="shared" si="4"/>
        <v>30000</v>
      </c>
      <c r="F27" s="15">
        <f t="shared" si="4"/>
        <v>0</v>
      </c>
    </row>
    <row r="28" spans="1:9" x14ac:dyDescent="0.2">
      <c r="A28" s="6" t="s">
        <v>2</v>
      </c>
      <c r="B28" s="15"/>
      <c r="C28" s="15">
        <f>$B$27/4</f>
        <v>30000</v>
      </c>
      <c r="D28" s="15">
        <f t="shared" ref="D28:E28" si="5">$B$27/4</f>
        <v>30000</v>
      </c>
      <c r="E28" s="15">
        <f t="shared" si="5"/>
        <v>30000</v>
      </c>
      <c r="F28" s="15">
        <f>$B$27/4</f>
        <v>30000</v>
      </c>
    </row>
    <row r="29" spans="1:9" x14ac:dyDescent="0.2">
      <c r="A29" s="6" t="s">
        <v>3</v>
      </c>
      <c r="B29" s="15"/>
      <c r="C29" s="15">
        <f>B27*$B$22</f>
        <v>14784</v>
      </c>
      <c r="D29" s="15">
        <f t="shared" ref="D29:F29" si="6">C27*$B$22</f>
        <v>11088</v>
      </c>
      <c r="E29" s="15">
        <f t="shared" si="6"/>
        <v>7392</v>
      </c>
      <c r="F29" s="15">
        <f t="shared" si="6"/>
        <v>3696</v>
      </c>
    </row>
    <row r="30" spans="1:9" x14ac:dyDescent="0.2">
      <c r="A30" s="6" t="s">
        <v>4</v>
      </c>
      <c r="B30" s="15">
        <f>B27*B23</f>
        <v>2400</v>
      </c>
      <c r="C30" s="15"/>
      <c r="D30" s="15"/>
      <c r="E30" s="15"/>
      <c r="F30" s="15"/>
    </row>
    <row r="31" spans="1:9" x14ac:dyDescent="0.2">
      <c r="A31" s="10" t="s">
        <v>5</v>
      </c>
      <c r="B31" s="16">
        <f>B27-B30</f>
        <v>117600</v>
      </c>
      <c r="C31" s="16">
        <f>-C28-C29</f>
        <v>-44784</v>
      </c>
      <c r="D31" s="16">
        <f t="shared" ref="D31:F31" si="7">-D28-D29</f>
        <v>-41088</v>
      </c>
      <c r="E31" s="16">
        <f t="shared" si="7"/>
        <v>-37392</v>
      </c>
      <c r="F31" s="16">
        <f t="shared" si="7"/>
        <v>-33696</v>
      </c>
    </row>
    <row r="32" spans="1:9" x14ac:dyDescent="0.2">
      <c r="A32" s="12" t="s">
        <v>6</v>
      </c>
      <c r="B32" s="17">
        <f>IRR(B31:F31)</f>
        <v>0.13339856062772526</v>
      </c>
      <c r="C32" s="6"/>
      <c r="D32" s="6"/>
      <c r="E32" s="6"/>
      <c r="F32" s="6"/>
      <c r="I32" s="21">
        <f>90/350</f>
        <v>0.25714285714285712</v>
      </c>
    </row>
    <row r="33" spans="1:6" x14ac:dyDescent="0.2">
      <c r="A33" s="10" t="s">
        <v>7</v>
      </c>
      <c r="B33" s="18">
        <v>3.7999999999999999E-2</v>
      </c>
      <c r="C33" s="6"/>
      <c r="D33" s="6"/>
      <c r="E33" s="6"/>
      <c r="F33" s="6"/>
    </row>
    <row r="34" spans="1:6" x14ac:dyDescent="0.2">
      <c r="A34" s="12" t="s">
        <v>8</v>
      </c>
      <c r="B34" s="17">
        <f>(B32+B33)+(B32*B33)</f>
        <v>0.17646770593157882</v>
      </c>
      <c r="C34" s="6"/>
      <c r="D34" s="6"/>
      <c r="E34" s="6"/>
      <c r="F34" s="6"/>
    </row>
    <row r="35" spans="1:6" x14ac:dyDescent="0.2">
      <c r="A35" s="11" t="s">
        <v>9</v>
      </c>
      <c r="B35" s="7">
        <v>1800</v>
      </c>
      <c r="C35" s="19">
        <f>B35*(1+$B$33)</f>
        <v>1868.4</v>
      </c>
      <c r="D35" s="19">
        <f t="shared" ref="D35:F35" si="8">C35*(1+$B$33)</f>
        <v>1939.3992000000001</v>
      </c>
      <c r="E35" s="19">
        <f t="shared" si="8"/>
        <v>2013.0963696000001</v>
      </c>
      <c r="F35" s="19">
        <f t="shared" si="8"/>
        <v>2089.5940316448</v>
      </c>
    </row>
    <row r="36" spans="1:6" x14ac:dyDescent="0.2">
      <c r="A36" s="6" t="s">
        <v>5</v>
      </c>
      <c r="B36" s="7">
        <f>B31*B35</f>
        <v>211680000</v>
      </c>
      <c r="C36" s="7">
        <f t="shared" ref="C36:F36" si="9">C31*C35</f>
        <v>-83674425.600000009</v>
      </c>
      <c r="D36" s="7">
        <f t="shared" si="9"/>
        <v>-79686034.329600006</v>
      </c>
      <c r="E36" s="7">
        <f t="shared" si="9"/>
        <v>-75273699.4520832</v>
      </c>
      <c r="F36" s="7">
        <f t="shared" si="9"/>
        <v>-70410960.490303174</v>
      </c>
    </row>
    <row r="37" spans="1:6" x14ac:dyDescent="0.2">
      <c r="A37" s="12" t="s">
        <v>10</v>
      </c>
      <c r="B37" s="33">
        <f>IRR(B36:F36)</f>
        <v>0.17646770593184491</v>
      </c>
    </row>
    <row r="40" spans="1:6" x14ac:dyDescent="0.2">
      <c r="A40" s="9" t="s">
        <v>11</v>
      </c>
      <c r="B40" s="9"/>
    </row>
    <row r="41" spans="1:6" x14ac:dyDescent="0.2">
      <c r="A41" s="9"/>
      <c r="B41" s="9"/>
    </row>
    <row r="42" spans="1:6" x14ac:dyDescent="0.2">
      <c r="A42" s="6" t="s">
        <v>12</v>
      </c>
      <c r="B42" s="7">
        <v>250000000</v>
      </c>
    </row>
    <row r="43" spans="1:6" x14ac:dyDescent="0.2">
      <c r="A43" s="6" t="s">
        <v>13</v>
      </c>
      <c r="B43" s="7">
        <v>1000000</v>
      </c>
    </row>
    <row r="44" spans="1:6" x14ac:dyDescent="0.2">
      <c r="A44" s="6" t="s">
        <v>14</v>
      </c>
      <c r="B44" s="6">
        <v>3</v>
      </c>
    </row>
    <row r="45" spans="1:6" x14ac:dyDescent="0.2">
      <c r="A45" s="6" t="s">
        <v>15</v>
      </c>
      <c r="B45" s="8">
        <v>7.0000000000000007E-2</v>
      </c>
    </row>
    <row r="46" spans="1:6" x14ac:dyDescent="0.2">
      <c r="A46" s="6" t="s">
        <v>16</v>
      </c>
      <c r="B46" s="8">
        <v>0.03</v>
      </c>
    </row>
    <row r="48" spans="1:6" x14ac:dyDescent="0.2">
      <c r="A48" s="12" t="s">
        <v>0</v>
      </c>
      <c r="B48" s="13">
        <v>0</v>
      </c>
      <c r="C48" s="13">
        <v>1</v>
      </c>
      <c r="D48" s="13">
        <v>2</v>
      </c>
      <c r="E48" s="13">
        <v>3</v>
      </c>
      <c r="F48" s="4"/>
    </row>
    <row r="49" spans="1:5" x14ac:dyDescent="0.2">
      <c r="A49" s="6" t="s">
        <v>17</v>
      </c>
      <c r="B49" s="7">
        <f>B43</f>
        <v>1000000</v>
      </c>
      <c r="C49" s="7"/>
      <c r="D49" s="7"/>
      <c r="E49" s="7"/>
    </row>
    <row r="50" spans="1:5" x14ac:dyDescent="0.2">
      <c r="A50" s="6" t="s">
        <v>18</v>
      </c>
      <c r="B50" s="7"/>
      <c r="C50" s="7"/>
      <c r="D50" s="7"/>
      <c r="E50" s="7">
        <f>B49</f>
        <v>1000000</v>
      </c>
    </row>
    <row r="51" spans="1:5" x14ac:dyDescent="0.2">
      <c r="A51" s="6" t="s">
        <v>3</v>
      </c>
      <c r="B51" s="7"/>
      <c r="C51" s="7">
        <f>$B$49*$B$45</f>
        <v>70000</v>
      </c>
      <c r="D51" s="7">
        <f t="shared" ref="D51:E51" si="10">$B$49*$B$45</f>
        <v>70000</v>
      </c>
      <c r="E51" s="7">
        <f t="shared" si="10"/>
        <v>70000</v>
      </c>
    </row>
    <row r="52" spans="1:5" x14ac:dyDescent="0.2">
      <c r="A52" s="6" t="s">
        <v>16</v>
      </c>
      <c r="B52" s="7"/>
      <c r="C52" s="7">
        <f>$B$49*$B$46</f>
        <v>30000</v>
      </c>
      <c r="D52" s="7"/>
      <c r="E52" s="7">
        <f t="shared" ref="E52" si="11">$B$49*$B$46</f>
        <v>30000</v>
      </c>
    </row>
    <row r="53" spans="1:5" x14ac:dyDescent="0.2">
      <c r="A53" s="10" t="s">
        <v>19</v>
      </c>
      <c r="B53" s="7">
        <f>B49-SUM(B50:B52)</f>
        <v>1000000</v>
      </c>
      <c r="C53" s="7">
        <f t="shared" ref="C53:E53" si="12">C49-SUM(C50:C52)</f>
        <v>-100000</v>
      </c>
      <c r="D53" s="7">
        <f t="shared" si="12"/>
        <v>-70000</v>
      </c>
      <c r="E53" s="7">
        <f t="shared" si="12"/>
        <v>-1100000</v>
      </c>
    </row>
    <row r="54" spans="1:5" x14ac:dyDescent="0.2">
      <c r="A54" s="12" t="s">
        <v>8</v>
      </c>
      <c r="B54" s="14">
        <f>IRR(B53:E53)</f>
        <v>9.0024722419340897E-2</v>
      </c>
      <c r="C54" s="2"/>
      <c r="D54" s="2"/>
      <c r="E54" s="2"/>
    </row>
    <row r="55" spans="1:5" x14ac:dyDescent="0.2">
      <c r="B55" s="2"/>
      <c r="C55" s="2"/>
      <c r="D55" s="2"/>
      <c r="E55" s="2"/>
    </row>
    <row r="56" spans="1:5" x14ac:dyDescent="0.2">
      <c r="A56" s="9" t="s">
        <v>20</v>
      </c>
      <c r="B56" s="9"/>
    </row>
    <row r="57" spans="1:5" x14ac:dyDescent="0.2">
      <c r="A57" s="9"/>
      <c r="B57" s="9"/>
    </row>
    <row r="58" spans="1:5" x14ac:dyDescent="0.2">
      <c r="A58" s="6" t="s">
        <v>12</v>
      </c>
      <c r="B58" s="7">
        <v>100000000</v>
      </c>
    </row>
    <row r="59" spans="1:5" x14ac:dyDescent="0.2">
      <c r="A59" s="6" t="s">
        <v>13</v>
      </c>
      <c r="B59" s="7">
        <v>2600</v>
      </c>
    </row>
    <row r="60" spans="1:5" x14ac:dyDescent="0.2">
      <c r="A60" s="6" t="s">
        <v>22</v>
      </c>
      <c r="B60" s="7">
        <v>290</v>
      </c>
    </row>
    <row r="61" spans="1:5" x14ac:dyDescent="0.2">
      <c r="A61" s="6" t="s">
        <v>21</v>
      </c>
      <c r="B61" s="19">
        <f>B60*(1+B62)</f>
        <v>336.4</v>
      </c>
    </row>
    <row r="62" spans="1:5" x14ac:dyDescent="0.2">
      <c r="A62" s="6" t="s">
        <v>23</v>
      </c>
      <c r="B62" s="8">
        <v>0.16</v>
      </c>
    </row>
    <row r="63" spans="1:5" x14ac:dyDescent="0.2">
      <c r="A63" s="12" t="s">
        <v>24</v>
      </c>
      <c r="B63" s="22">
        <f>(B61/B59)+B62</f>
        <v>0.28938461538461535</v>
      </c>
    </row>
    <row r="66" spans="1:6" x14ac:dyDescent="0.2">
      <c r="A66" s="9" t="s">
        <v>27</v>
      </c>
      <c r="B66" s="9"/>
    </row>
    <row r="67" spans="1:6" x14ac:dyDescent="0.2">
      <c r="A67" s="26"/>
      <c r="B67" s="26"/>
    </row>
    <row r="68" spans="1:6" ht="32" customHeight="1" x14ac:dyDescent="0.2">
      <c r="A68" s="27" t="s">
        <v>28</v>
      </c>
      <c r="B68" s="28" t="s">
        <v>31</v>
      </c>
      <c r="C68" s="27" t="s">
        <v>32</v>
      </c>
      <c r="D68" s="27" t="s">
        <v>33</v>
      </c>
      <c r="E68" s="27" t="s">
        <v>34</v>
      </c>
      <c r="F68" s="27" t="s">
        <v>35</v>
      </c>
    </row>
    <row r="69" spans="1:6" x14ac:dyDescent="0.2">
      <c r="A69" s="6" t="s">
        <v>30</v>
      </c>
      <c r="B69" s="7">
        <v>200000000</v>
      </c>
      <c r="C69" s="29">
        <v>0.20119999999999999</v>
      </c>
      <c r="D69" s="29">
        <f>C69*(1-33%)</f>
        <v>0.13480399999999998</v>
      </c>
      <c r="E69" s="29">
        <f>B69/$B$73</f>
        <v>0.26109660574412535</v>
      </c>
      <c r="F69" s="29">
        <f>D69*E69</f>
        <v>3.5196866840731068E-2</v>
      </c>
    </row>
    <row r="70" spans="1:6" x14ac:dyDescent="0.2">
      <c r="A70" s="6" t="s">
        <v>29</v>
      </c>
      <c r="B70" s="7">
        <f>B27*B35</f>
        <v>216000000</v>
      </c>
      <c r="C70" s="29">
        <f>B34</f>
        <v>0.17646770593157882</v>
      </c>
      <c r="D70" s="29">
        <f t="shared" ref="D70:D71" si="13">C70*(1-33%)</f>
        <v>0.11823336297415779</v>
      </c>
      <c r="E70" s="29">
        <f t="shared" ref="E70:E72" si="14">B70/$B$73</f>
        <v>0.28198433420365537</v>
      </c>
      <c r="F70" s="29">
        <f t="shared" ref="F70:F72" si="15">D70*E70</f>
        <v>3.3339956138927006E-2</v>
      </c>
    </row>
    <row r="71" spans="1:6" x14ac:dyDescent="0.2">
      <c r="A71" s="6" t="s">
        <v>11</v>
      </c>
      <c r="B71" s="24">
        <f>B42</f>
        <v>250000000</v>
      </c>
      <c r="C71" s="29">
        <f>B54</f>
        <v>9.0024722419340897E-2</v>
      </c>
      <c r="D71" s="29">
        <f t="shared" si="13"/>
        <v>6.0316564020958398E-2</v>
      </c>
      <c r="E71" s="29">
        <f t="shared" si="14"/>
        <v>0.32637075718015668</v>
      </c>
      <c r="F71" s="29">
        <f t="shared" si="15"/>
        <v>1.9685562670025587E-2</v>
      </c>
    </row>
    <row r="72" spans="1:6" x14ac:dyDescent="0.2">
      <c r="A72" s="6" t="s">
        <v>20</v>
      </c>
      <c r="B72" s="24">
        <f>B58</f>
        <v>100000000</v>
      </c>
      <c r="C72" s="29">
        <f>B63</f>
        <v>0.28938461538461535</v>
      </c>
      <c r="D72" s="29">
        <v>0.28939999999999999</v>
      </c>
      <c r="E72" s="29">
        <f t="shared" si="14"/>
        <v>0.13054830287206268</v>
      </c>
      <c r="F72" s="29">
        <f t="shared" si="15"/>
        <v>3.7780678851174934E-2</v>
      </c>
    </row>
    <row r="73" spans="1:6" x14ac:dyDescent="0.2">
      <c r="A73" s="12" t="s">
        <v>36</v>
      </c>
      <c r="B73" s="30">
        <f>SUM(B69:B72)</f>
        <v>766000000</v>
      </c>
      <c r="C73" s="31"/>
      <c r="D73" s="31"/>
      <c r="E73" s="32">
        <f>SUM(E69:E72)</f>
        <v>1</v>
      </c>
      <c r="F73" s="17">
        <f>SUM(F69:F72)</f>
        <v>0.12600306450085857</v>
      </c>
    </row>
    <row r="76" spans="1:6" x14ac:dyDescent="0.2">
      <c r="A76" s="25"/>
    </row>
  </sheetData>
  <mergeCells count="6">
    <mergeCell ref="A2:B3"/>
    <mergeCell ref="A40:B41"/>
    <mergeCell ref="A56:B57"/>
    <mergeCell ref="A17:B18"/>
    <mergeCell ref="A66:B67"/>
    <mergeCell ref="C73:D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ED15-BB93-5B40-9E6A-560D9A6D2738}">
  <dimension ref="A2:J14"/>
  <sheetViews>
    <sheetView tabSelected="1" zoomScale="140" zoomScaleNormal="140" workbookViewId="0">
      <selection activeCell="J6" sqref="J6"/>
    </sheetView>
  </sheetViews>
  <sheetFormatPr baseColWidth="10" defaultRowHeight="16" x14ac:dyDescent="0.2"/>
  <sheetData>
    <row r="2" spans="1:10" ht="68" x14ac:dyDescent="0.2">
      <c r="A2" t="s">
        <v>48</v>
      </c>
      <c r="B2" s="36" t="s">
        <v>0</v>
      </c>
      <c r="C2" s="36" t="s">
        <v>43</v>
      </c>
      <c r="D2" s="36" t="s">
        <v>44</v>
      </c>
    </row>
    <row r="3" spans="1:10" x14ac:dyDescent="0.2">
      <c r="A3">
        <v>0</v>
      </c>
      <c r="B3">
        <v>2015</v>
      </c>
      <c r="C3">
        <v>1.81</v>
      </c>
      <c r="D3" s="1">
        <v>2.3E-2</v>
      </c>
      <c r="F3" t="s">
        <v>45</v>
      </c>
      <c r="G3" s="37">
        <v>80.790000000000006</v>
      </c>
    </row>
    <row r="4" spans="1:10" x14ac:dyDescent="0.2">
      <c r="A4">
        <v>1</v>
      </c>
      <c r="B4">
        <v>2016</v>
      </c>
      <c r="C4">
        <v>1.85</v>
      </c>
      <c r="D4" s="1">
        <v>2.2100000000000002E-2</v>
      </c>
      <c r="F4" t="s">
        <v>46</v>
      </c>
      <c r="G4" s="3">
        <f>C12</f>
        <v>3.12</v>
      </c>
    </row>
    <row r="5" spans="1:10" x14ac:dyDescent="0.2">
      <c r="A5">
        <v>2</v>
      </c>
      <c r="B5">
        <v>2017</v>
      </c>
      <c r="C5">
        <v>1.89</v>
      </c>
      <c r="D5" s="1">
        <v>2.1600000000000001E-2</v>
      </c>
    </row>
    <row r="6" spans="1:10" x14ac:dyDescent="0.2">
      <c r="A6">
        <v>3</v>
      </c>
      <c r="B6">
        <v>2018</v>
      </c>
      <c r="C6">
        <v>1.99</v>
      </c>
      <c r="D6" s="1">
        <v>5.2900000000000003E-2</v>
      </c>
    </row>
    <row r="7" spans="1:10" x14ac:dyDescent="0.2">
      <c r="A7">
        <v>4</v>
      </c>
      <c r="B7">
        <v>2019</v>
      </c>
      <c r="C7">
        <v>2.2599999999999998</v>
      </c>
      <c r="D7" s="1">
        <v>0.13569999999999999</v>
      </c>
      <c r="F7" t="s">
        <v>47</v>
      </c>
      <c r="G7" s="5">
        <f>AVERAGE(D3:D12)</f>
        <v>5.8889999999999998E-2</v>
      </c>
      <c r="H7" s="4" t="s">
        <v>49</v>
      </c>
    </row>
    <row r="8" spans="1:10" x14ac:dyDescent="0.2">
      <c r="A8">
        <v>5</v>
      </c>
      <c r="B8">
        <v>2020</v>
      </c>
      <c r="C8">
        <v>2.48</v>
      </c>
      <c r="D8" s="1">
        <v>9.7299999999999998E-2</v>
      </c>
      <c r="G8" s="5">
        <f>AVERAGE(D4:D6,D8:D12)</f>
        <v>5.3774999999999996E-2</v>
      </c>
      <c r="H8" s="4" t="s">
        <v>49</v>
      </c>
    </row>
    <row r="9" spans="1:10" x14ac:dyDescent="0.2">
      <c r="A9">
        <v>6</v>
      </c>
      <c r="B9">
        <v>2021</v>
      </c>
      <c r="C9">
        <v>2.64</v>
      </c>
      <c r="D9" s="1">
        <v>6.4500000000000002E-2</v>
      </c>
      <c r="G9" s="1">
        <f>SUM(D3:D12)</f>
        <v>0.58889999999999998</v>
      </c>
      <c r="H9" t="s">
        <v>50</v>
      </c>
      <c r="J9" t="s">
        <v>51</v>
      </c>
    </row>
    <row r="10" spans="1:10" x14ac:dyDescent="0.2">
      <c r="A10">
        <v>7</v>
      </c>
      <c r="B10">
        <v>2022</v>
      </c>
      <c r="C10">
        <v>2.8</v>
      </c>
      <c r="D10" s="1">
        <v>6.0600000000000001E-2</v>
      </c>
      <c r="G10" s="38">
        <v>5.6000000000000001E-2</v>
      </c>
      <c r="H10" s="4" t="s">
        <v>49</v>
      </c>
      <c r="J10" t="s">
        <v>51</v>
      </c>
    </row>
    <row r="11" spans="1:10" x14ac:dyDescent="0.2">
      <c r="A11">
        <v>8</v>
      </c>
      <c r="B11">
        <v>2023</v>
      </c>
      <c r="C11">
        <v>2.96</v>
      </c>
      <c r="D11" s="1">
        <v>5.7099999999999998E-2</v>
      </c>
    </row>
    <row r="12" spans="1:10" x14ac:dyDescent="0.2">
      <c r="A12">
        <v>9</v>
      </c>
      <c r="B12">
        <v>2024</v>
      </c>
      <c r="C12">
        <v>3.12</v>
      </c>
      <c r="D12" s="1">
        <v>5.4100000000000002E-2</v>
      </c>
      <c r="F12" t="s">
        <v>52</v>
      </c>
      <c r="H12" s="3">
        <f>G4*(1+G10)</f>
        <v>3.2947200000000003</v>
      </c>
    </row>
    <row r="14" spans="1:10" x14ac:dyDescent="0.2">
      <c r="F14" s="39" t="s">
        <v>53</v>
      </c>
      <c r="G14" s="40">
        <f>(H12/G3)+G10</f>
        <v>9.6781284812476803E-2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 Miel</vt:lpstr>
      <vt:lpstr>Yahoo Finanzas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Young Hoyos</dc:creator>
  <cp:lastModifiedBy>Juan Manuel Young Hoyos</cp:lastModifiedBy>
  <dcterms:created xsi:type="dcterms:W3CDTF">2025-08-06T11:43:40Z</dcterms:created>
  <dcterms:modified xsi:type="dcterms:W3CDTF">2025-08-06T14:14:14Z</dcterms:modified>
</cp:coreProperties>
</file>