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ungermaster/GitHub/Youngermaster/Obsidian-Brain-Notes/EAFIT/Evaluación Financiera de Proyectos/"/>
    </mc:Choice>
  </mc:AlternateContent>
  <xr:revisionPtr revIDLastSave="0" documentId="13_ncr:1_{A8AE3D18-20B2-9D43-BD20-8EC5EC47CB79}" xr6:coauthVersionLast="47" xr6:coauthVersionMax="47" xr10:uidLastSave="{00000000-0000-0000-0000-000000000000}"/>
  <bookViews>
    <workbookView xWindow="0" yWindow="760" windowWidth="30240" windowHeight="18880" activeTab="7" xr2:uid="{B22E2EB1-F4B4-3F4D-8ED5-80D18CC0239F}"/>
  </bookViews>
  <sheets>
    <sheet name="Punto 1" sheetId="1" r:id="rId1"/>
    <sheet name="Punto 2" sheetId="2" r:id="rId2"/>
    <sheet name="Punto 3" sheetId="3" r:id="rId3"/>
    <sheet name="Punto 4" sheetId="4" r:id="rId4"/>
    <sheet name="Punto 5" sheetId="5" r:id="rId5"/>
    <sheet name="Punto 6" sheetId="6" r:id="rId6"/>
    <sheet name="Punto 7" sheetId="7" r:id="rId7"/>
    <sheet name="Punto 8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8" l="1"/>
  <c r="B18" i="8"/>
  <c r="C7" i="8"/>
  <c r="C17" i="8"/>
  <c r="D16" i="8"/>
  <c r="E16" i="8" s="1"/>
  <c r="C8" i="7"/>
  <c r="C9" i="6"/>
  <c r="C6" i="5"/>
  <c r="G7" i="4"/>
  <c r="G6" i="4"/>
  <c r="C7" i="4"/>
  <c r="C7" i="3"/>
  <c r="C7" i="2"/>
  <c r="C6" i="1"/>
  <c r="F16" i="8" l="1"/>
  <c r="E17" i="8"/>
  <c r="D17" i="8"/>
  <c r="G16" i="8" l="1"/>
  <c r="F17" i="8"/>
  <c r="H16" i="8" l="1"/>
  <c r="G17" i="8"/>
  <c r="I16" i="8" l="1"/>
  <c r="H17" i="8"/>
  <c r="J16" i="8" l="1"/>
  <c r="I17" i="8"/>
  <c r="K16" i="8" l="1"/>
  <c r="J17" i="8"/>
  <c r="L16" i="8" l="1"/>
  <c r="K17" i="8"/>
  <c r="M16" i="8" l="1"/>
  <c r="L17" i="8"/>
  <c r="N16" i="8" l="1"/>
  <c r="N17" i="8" s="1"/>
  <c r="M17" i="8"/>
</calcChain>
</file>

<file path=xl/sharedStrings.xml><?xml version="1.0" encoding="utf-8"?>
<sst xmlns="http://schemas.openxmlformats.org/spreadsheetml/2006/main" count="67" uniqueCount="28">
  <si>
    <t>Función</t>
  </si>
  <si>
    <t>Valor</t>
  </si>
  <si>
    <t>VA</t>
  </si>
  <si>
    <t>VF</t>
  </si>
  <si>
    <t>TASA</t>
  </si>
  <si>
    <t>NPER</t>
  </si>
  <si>
    <t>Una empresa deberá invertir en un equipo que costará $300'000,000 dentro de tres años. El gerente quiere asegurarse de que el dinero esté disponible para esa fecha y propone ahorrar desde hoy lo necesario para lograr su objetivo. Si un banco le propone pagarle una tasa del 7% anual por su dinero, ¿de cuánto deberá ser el ahorro HOY?</t>
  </si>
  <si>
    <t>Se invierten hoy $20'000,000 en un banco que paga el 0.8% mensual. Cuánto dinero se tendrá
al cabo de 24 meses?</t>
  </si>
  <si>
    <t>Un préstamo fue realizado a una empresa a una tasa de interés del 2% mensual, pagando una
cuota mensual de $5'000,000 durante tres años. ¿Cuál fue el monto prestado a la empresa?</t>
  </si>
  <si>
    <t>PAGO</t>
  </si>
  <si>
    <t>Se tiene programado un ahorro mensual de $2'000,000 durante los próximos 24 meses, en un
banco que pagará un interés del 1% mensual. ¿Cuánto dinero se tendrá acumulado al final del
período programado?</t>
  </si>
  <si>
    <t>Rentabilidad</t>
  </si>
  <si>
    <t>Una empresa compró un vehículo por valor de $56'000,000 y fue financiado a 48 meses a una
tasa de interés del 0.8% mensual. ¿Cuál es el valor de la cuota mensual que le corresponde
pagar a la empresa?</t>
  </si>
  <si>
    <t>Una compañía tiene $35'000,000 en una inversión que paga 1.2% mensual y necesita comprar
un activo que vale $42'000,000. ¿Cuánto tiempo debe esperar la compañía para que el dinero
que tiene invertido produzca los intereses suficientes para cumplir su objetivo?</t>
  </si>
  <si>
    <t>Juan tiene $40'000,000 en una cuenta de ahorros y está obligado a pagar una deuda por
$46'670,980 dentro de 13 meses. Un amigo le propone que le preste el dinero que tiene y él
paga su obligación. ¿A qué tasa le estaría prestando Juan el dinero a su amigo?</t>
  </si>
  <si>
    <t>Una compañía ha lanzado un producto que espera le genere un flujo de efectivo de
$50'000,000 el primer mes de operación, con un incremento mensual de 3% para los
siguientes 12 meses. ¿Cuál será el valor presente de esos flujos de caja si el costo de su capital
es del 5% mensual?</t>
  </si>
  <si>
    <t>VNA</t>
  </si>
  <si>
    <t>i</t>
  </si>
  <si>
    <t>A</t>
  </si>
  <si>
    <t>GG</t>
  </si>
  <si>
    <t>a) Fórmula para Gradiente Geométrico (GG)</t>
  </si>
  <si>
    <t>Período</t>
  </si>
  <si>
    <t>Flujo de Caja</t>
  </si>
  <si>
    <t>VP FC</t>
  </si>
  <si>
    <t>Valor Presente</t>
  </si>
  <si>
    <t>&lt;- Aplicar GG</t>
  </si>
  <si>
    <t>b) Función VA</t>
  </si>
  <si>
    <t>C) Función VNA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</si>
</sst>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2" formatCode="_-&quot;$&quot;* #,##0_-;\-&quot;$&quot;* #,##0_-;_-&quot;$&quot;* &quot;-&quot;_-;_-@_-"/>
    <numFmt numFmtId="168" formatCode="0.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9" tint="0.3999755851924192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42" fontId="0" fillId="0" borderId="0" xfId="1" applyFont="1"/>
    <xf numFmtId="8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/>
    <xf numFmtId="42" fontId="0" fillId="0" borderId="1" xfId="1" applyFont="1" applyBorder="1"/>
    <xf numFmtId="9" fontId="0" fillId="0" borderId="1" xfId="0" applyNumberFormat="1" applyBorder="1"/>
    <xf numFmtId="0" fontId="0" fillId="0" borderId="4" xfId="0" applyBorder="1"/>
    <xf numFmtId="0" fontId="0" fillId="0" borderId="5" xfId="0" applyBorder="1"/>
    <xf numFmtId="0" fontId="0" fillId="2" borderId="3" xfId="0" applyFill="1" applyBorder="1"/>
    <xf numFmtId="8" fontId="0" fillId="2" borderId="3" xfId="0" applyNumberFormat="1" applyFill="1" applyBorder="1"/>
    <xf numFmtId="0" fontId="0" fillId="0" borderId="3" xfId="0" applyFill="1" applyBorder="1"/>
    <xf numFmtId="8" fontId="0" fillId="0" borderId="3" xfId="0" applyNumberFormat="1" applyFill="1" applyBorder="1"/>
    <xf numFmtId="168" fontId="0" fillId="0" borderId="1" xfId="0" applyNumberFormat="1" applyBorder="1"/>
    <xf numFmtId="0" fontId="0" fillId="3" borderId="0" xfId="0" applyFill="1" applyAlignment="1">
      <alignment horizontal="center"/>
    </xf>
    <xf numFmtId="9" fontId="0" fillId="3" borderId="0" xfId="2" applyFont="1" applyFill="1"/>
    <xf numFmtId="0" fontId="0" fillId="4" borderId="3" xfId="0" applyFill="1" applyBorder="1"/>
    <xf numFmtId="8" fontId="0" fillId="4" borderId="3" xfId="0" applyNumberFormat="1" applyFill="1" applyBorder="1"/>
    <xf numFmtId="0" fontId="0" fillId="2" borderId="1" xfId="0" applyFill="1" applyBorder="1"/>
    <xf numFmtId="168" fontId="0" fillId="2" borderId="1" xfId="0" applyNumberFormat="1" applyFill="1" applyBorder="1"/>
    <xf numFmtId="0" fontId="0" fillId="0" borderId="1" xfId="0" applyFill="1" applyBorder="1"/>
    <xf numFmtId="2" fontId="0" fillId="0" borderId="0" xfId="1" applyNumberFormat="1" applyFont="1"/>
    <xf numFmtId="10" fontId="0" fillId="0" borderId="0" xfId="1" applyNumberFormat="1" applyFont="1"/>
    <xf numFmtId="9" fontId="0" fillId="4" borderId="3" xfId="0" applyNumberFormat="1" applyFill="1" applyBorder="1"/>
    <xf numFmtId="1" fontId="0" fillId="0" borderId="1" xfId="0" applyNumberFormat="1" applyFill="1" applyBorder="1"/>
    <xf numFmtId="42" fontId="0" fillId="0" borderId="1" xfId="1" applyFont="1" applyFill="1" applyBorder="1"/>
    <xf numFmtId="9" fontId="0" fillId="0" borderId="1" xfId="0" applyNumberFormat="1" applyFill="1" applyBorder="1"/>
    <xf numFmtId="0" fontId="2" fillId="0" borderId="0" xfId="0" applyFont="1" applyAlignment="1">
      <alignment horizontal="left" vertical="center" wrapText="1"/>
    </xf>
    <xf numFmtId="0" fontId="3" fillId="5" borderId="0" xfId="0" applyFont="1" applyFill="1"/>
    <xf numFmtId="8" fontId="0" fillId="0" borderId="0" xfId="1" applyNumberFormat="1" applyFont="1"/>
    <xf numFmtId="42" fontId="0" fillId="2" borderId="6" xfId="1" applyFont="1" applyFill="1" applyBorder="1"/>
    <xf numFmtId="8" fontId="0" fillId="2" borderId="2" xfId="1" applyNumberFormat="1" applyFont="1" applyFill="1" applyBorder="1"/>
    <xf numFmtId="0" fontId="0" fillId="0" borderId="7" xfId="0" applyBorder="1"/>
    <xf numFmtId="42" fontId="0" fillId="2" borderId="2" xfId="1" applyNumberFormat="1" applyFont="1" applyFill="1" applyBorder="1"/>
    <xf numFmtId="0" fontId="2" fillId="0" borderId="0" xfId="0" applyFont="1" applyAlignment="1">
      <alignment horizontal="left"/>
    </xf>
  </cellXfs>
  <cellStyles count="3">
    <cellStyle name="Currency [0]" xfId="1" builtinId="7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F3CB-F81B-EC49-8D11-A209612B49FD}">
  <dimension ref="A1:H9"/>
  <sheetViews>
    <sheetView zoomScale="130" zoomScaleNormal="130" workbookViewId="0">
      <selection activeCell="C6" sqref="C6"/>
    </sheetView>
  </sheetViews>
  <sheetFormatPr baseColWidth="10" defaultRowHeight="16" x14ac:dyDescent="0.2"/>
  <cols>
    <col min="3" max="3" width="15.33203125" bestFit="1" customWidth="1"/>
    <col min="5" max="5" width="13.5" bestFit="1" customWidth="1"/>
  </cols>
  <sheetData>
    <row r="1" spans="1:8" ht="16" customHeight="1" x14ac:dyDescent="0.2">
      <c r="A1" s="3" t="s">
        <v>6</v>
      </c>
      <c r="B1" s="3"/>
      <c r="C1" s="3"/>
      <c r="D1" s="3"/>
      <c r="E1" s="3"/>
      <c r="F1" s="3"/>
      <c r="G1" s="3"/>
      <c r="H1" s="3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ht="17" thickBot="1" x14ac:dyDescent="0.25">
      <c r="A4" s="3"/>
      <c r="B4" s="3"/>
      <c r="C4" s="3"/>
      <c r="D4" s="3"/>
      <c r="E4" s="3"/>
      <c r="F4" s="3"/>
      <c r="G4" s="3"/>
      <c r="H4" s="3"/>
    </row>
    <row r="5" spans="1:8" ht="17" thickBot="1" x14ac:dyDescent="0.25">
      <c r="B5" s="8" t="s">
        <v>0</v>
      </c>
      <c r="C5" s="9" t="s">
        <v>1</v>
      </c>
    </row>
    <row r="6" spans="1:8" x14ac:dyDescent="0.2">
      <c r="B6" s="10" t="s">
        <v>2</v>
      </c>
      <c r="C6" s="11">
        <f>PV(C8,C9,,C7)</f>
        <v>-244889363.06725559</v>
      </c>
      <c r="E6" s="1">
        <v>-244889363</v>
      </c>
    </row>
    <row r="7" spans="1:8" x14ac:dyDescent="0.2">
      <c r="B7" s="5" t="s">
        <v>3</v>
      </c>
      <c r="C7" s="6">
        <v>300000000</v>
      </c>
    </row>
    <row r="8" spans="1:8" x14ac:dyDescent="0.2">
      <c r="B8" s="5" t="s">
        <v>4</v>
      </c>
      <c r="C8" s="7">
        <v>7.0000000000000007E-2</v>
      </c>
    </row>
    <row r="9" spans="1:8" x14ac:dyDescent="0.2">
      <c r="B9" s="5" t="s">
        <v>5</v>
      </c>
      <c r="C9" s="5">
        <v>3</v>
      </c>
    </row>
  </sheetData>
  <mergeCells count="1">
    <mergeCell ref="A1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15D5-8E27-5B4E-AABF-D76280C7680A}">
  <dimension ref="A1:H9"/>
  <sheetViews>
    <sheetView zoomScale="130" zoomScaleNormal="130" workbookViewId="0">
      <selection activeCell="E8" sqref="E8"/>
    </sheetView>
  </sheetViews>
  <sheetFormatPr baseColWidth="10" defaultRowHeight="16" x14ac:dyDescent="0.2"/>
  <cols>
    <col min="3" max="3" width="15.33203125" bestFit="1" customWidth="1"/>
    <col min="5" max="5" width="13.5" bestFit="1" customWidth="1"/>
  </cols>
  <sheetData>
    <row r="1" spans="1:8" ht="16" customHeight="1" x14ac:dyDescent="0.2">
      <c r="A1" s="3" t="s">
        <v>7</v>
      </c>
      <c r="B1" s="3"/>
      <c r="C1" s="3"/>
      <c r="D1" s="3"/>
      <c r="E1" s="3"/>
      <c r="F1" s="3"/>
      <c r="G1" s="3"/>
      <c r="H1" s="3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ht="17" thickBot="1" x14ac:dyDescent="0.25">
      <c r="A4" s="3"/>
      <c r="B4" s="3"/>
      <c r="C4" s="3"/>
      <c r="D4" s="3"/>
      <c r="E4" s="3"/>
      <c r="F4" s="3"/>
      <c r="G4" s="3"/>
      <c r="H4" s="3"/>
    </row>
    <row r="5" spans="1:8" ht="17" thickBot="1" x14ac:dyDescent="0.25">
      <c r="B5" s="8" t="s">
        <v>0</v>
      </c>
      <c r="C5" s="9" t="s">
        <v>1</v>
      </c>
    </row>
    <row r="6" spans="1:8" x14ac:dyDescent="0.2">
      <c r="B6" s="12" t="s">
        <v>2</v>
      </c>
      <c r="C6" s="13">
        <v>-20000000</v>
      </c>
      <c r="E6" s="1">
        <v>24214905</v>
      </c>
    </row>
    <row r="7" spans="1:8" x14ac:dyDescent="0.2">
      <c r="B7" s="10" t="s">
        <v>3</v>
      </c>
      <c r="C7" s="11">
        <f>FV(C8,C9,,C6)</f>
        <v>24214904.817779131</v>
      </c>
    </row>
    <row r="8" spans="1:8" x14ac:dyDescent="0.2">
      <c r="B8" s="5" t="s">
        <v>4</v>
      </c>
      <c r="C8" s="14">
        <v>8.0000000000000002E-3</v>
      </c>
    </row>
    <row r="9" spans="1:8" x14ac:dyDescent="0.2">
      <c r="B9" s="5" t="s">
        <v>5</v>
      </c>
      <c r="C9" s="5">
        <v>24</v>
      </c>
    </row>
  </sheetData>
  <mergeCells count="1">
    <mergeCell ref="A1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7A8E-A237-BE4A-B0B9-083A5DADDB9A}">
  <dimension ref="A1:H9"/>
  <sheetViews>
    <sheetView zoomScale="130" zoomScaleNormal="130" workbookViewId="0">
      <selection activeCell="E7" sqref="E7"/>
    </sheetView>
  </sheetViews>
  <sheetFormatPr baseColWidth="10" defaultRowHeight="16" x14ac:dyDescent="0.2"/>
  <cols>
    <col min="3" max="3" width="15.33203125" bestFit="1" customWidth="1"/>
    <col min="5" max="5" width="13.5" bestFit="1" customWidth="1"/>
  </cols>
  <sheetData>
    <row r="1" spans="1:8" ht="16" customHeight="1" x14ac:dyDescent="0.2">
      <c r="A1" s="3" t="s">
        <v>8</v>
      </c>
      <c r="B1" s="3"/>
      <c r="C1" s="3"/>
      <c r="D1" s="3"/>
      <c r="E1" s="3"/>
      <c r="F1" s="3"/>
      <c r="G1" s="3"/>
      <c r="H1" s="3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ht="17" thickBot="1" x14ac:dyDescent="0.25">
      <c r="A4" s="3"/>
      <c r="B4" s="3"/>
      <c r="C4" s="3"/>
      <c r="D4" s="3"/>
      <c r="E4" s="3"/>
      <c r="F4" s="3"/>
      <c r="G4" s="3"/>
      <c r="H4" s="3"/>
    </row>
    <row r="5" spans="1:8" ht="17" thickBot="1" x14ac:dyDescent="0.25">
      <c r="B5" s="8" t="s">
        <v>0</v>
      </c>
      <c r="C5" s="9" t="s">
        <v>1</v>
      </c>
    </row>
    <row r="6" spans="1:8" x14ac:dyDescent="0.2">
      <c r="B6" s="12" t="s">
        <v>9</v>
      </c>
      <c r="C6" s="13">
        <v>-5000000</v>
      </c>
      <c r="E6" s="1">
        <v>127444212</v>
      </c>
    </row>
    <row r="7" spans="1:8" x14ac:dyDescent="0.2">
      <c r="B7" s="10" t="s">
        <v>2</v>
      </c>
      <c r="C7" s="11">
        <f>PV(C8,C9,C6)</f>
        <v>127444212.41193691</v>
      </c>
    </row>
    <row r="8" spans="1:8" x14ac:dyDescent="0.2">
      <c r="B8" s="5" t="s">
        <v>4</v>
      </c>
      <c r="C8" s="14">
        <v>0.02</v>
      </c>
    </row>
    <row r="9" spans="1:8" x14ac:dyDescent="0.2">
      <c r="B9" s="5" t="s">
        <v>5</v>
      </c>
      <c r="C9" s="5">
        <v>36</v>
      </c>
    </row>
  </sheetData>
  <mergeCells count="1">
    <mergeCell ref="A1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D8F3-9930-D042-AFF6-E57E6BC45A5D}">
  <dimension ref="A1:H9"/>
  <sheetViews>
    <sheetView zoomScale="130" zoomScaleNormal="130" workbookViewId="0">
      <selection activeCell="F13" sqref="F13"/>
    </sheetView>
  </sheetViews>
  <sheetFormatPr baseColWidth="10" defaultRowHeight="16" x14ac:dyDescent="0.2"/>
  <cols>
    <col min="3" max="3" width="15.33203125" bestFit="1" customWidth="1"/>
    <col min="5" max="5" width="13.5" bestFit="1" customWidth="1"/>
    <col min="7" max="7" width="14.33203125" bestFit="1" customWidth="1"/>
  </cols>
  <sheetData>
    <row r="1" spans="1:8" ht="16" customHeight="1" x14ac:dyDescent="0.2">
      <c r="A1" s="3" t="s">
        <v>10</v>
      </c>
      <c r="B1" s="3"/>
      <c r="C1" s="3"/>
      <c r="D1" s="3"/>
      <c r="E1" s="3"/>
      <c r="F1" s="3"/>
      <c r="G1" s="3"/>
      <c r="H1" s="3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ht="17" thickBot="1" x14ac:dyDescent="0.25">
      <c r="A4" s="3"/>
      <c r="B4" s="3"/>
      <c r="C4" s="3"/>
      <c r="D4" s="3"/>
      <c r="E4" s="3"/>
      <c r="F4" s="3"/>
      <c r="G4" s="3"/>
      <c r="H4" s="3"/>
    </row>
    <row r="5" spans="1:8" ht="17" thickBot="1" x14ac:dyDescent="0.25">
      <c r="B5" s="8" t="s">
        <v>0</v>
      </c>
      <c r="C5" s="9" t="s">
        <v>1</v>
      </c>
    </row>
    <row r="6" spans="1:8" x14ac:dyDescent="0.2">
      <c r="B6" s="12" t="s">
        <v>9</v>
      </c>
      <c r="C6" s="13">
        <v>-2000000</v>
      </c>
      <c r="E6" s="1">
        <v>127444212</v>
      </c>
      <c r="G6" s="2">
        <f>ABS(C6*24)</f>
        <v>48000000</v>
      </c>
    </row>
    <row r="7" spans="1:8" x14ac:dyDescent="0.2">
      <c r="B7" s="10" t="s">
        <v>3</v>
      </c>
      <c r="C7" s="11">
        <f>FV(C8,C9,C6)</f>
        <v>53946929.706382997</v>
      </c>
      <c r="E7" s="15" t="s">
        <v>11</v>
      </c>
      <c r="F7" s="15"/>
      <c r="G7" s="16">
        <f>(C7-G6)/G6</f>
        <v>0.12389436888297911</v>
      </c>
    </row>
    <row r="8" spans="1:8" x14ac:dyDescent="0.2">
      <c r="B8" s="5" t="s">
        <v>4</v>
      </c>
      <c r="C8" s="14">
        <v>0.01</v>
      </c>
    </row>
    <row r="9" spans="1:8" x14ac:dyDescent="0.2">
      <c r="B9" s="5" t="s">
        <v>5</v>
      </c>
      <c r="C9" s="5">
        <v>24</v>
      </c>
    </row>
  </sheetData>
  <mergeCells count="2">
    <mergeCell ref="A1:H4"/>
    <mergeCell ref="E7:F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2E4A-EBFC-9E4F-8938-803A4CEADE2A}">
  <dimension ref="A1:H9"/>
  <sheetViews>
    <sheetView zoomScale="130" zoomScaleNormal="130" workbookViewId="0">
      <selection activeCell="G13" sqref="G13"/>
    </sheetView>
  </sheetViews>
  <sheetFormatPr baseColWidth="10" defaultRowHeight="16" x14ac:dyDescent="0.2"/>
  <cols>
    <col min="3" max="3" width="15.33203125" bestFit="1" customWidth="1"/>
    <col min="5" max="5" width="13.5" bestFit="1" customWidth="1"/>
    <col min="7" max="7" width="14.33203125" bestFit="1" customWidth="1"/>
  </cols>
  <sheetData>
    <row r="1" spans="1:8" ht="16" customHeight="1" x14ac:dyDescent="0.2">
      <c r="A1" s="3" t="s">
        <v>12</v>
      </c>
      <c r="B1" s="3"/>
      <c r="C1" s="3"/>
      <c r="D1" s="3"/>
      <c r="E1" s="3"/>
      <c r="F1" s="3"/>
      <c r="G1" s="3"/>
      <c r="H1" s="3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ht="17" thickBot="1" x14ac:dyDescent="0.25">
      <c r="A4" s="3"/>
      <c r="B4" s="3"/>
      <c r="C4" s="3"/>
      <c r="D4" s="3"/>
      <c r="E4" s="3"/>
      <c r="F4" s="3"/>
      <c r="G4" s="3"/>
      <c r="H4" s="3"/>
    </row>
    <row r="5" spans="1:8" ht="17" thickBot="1" x14ac:dyDescent="0.25">
      <c r="B5" s="8" t="s">
        <v>0</v>
      </c>
      <c r="C5" s="9" t="s">
        <v>1</v>
      </c>
    </row>
    <row r="6" spans="1:8" x14ac:dyDescent="0.2">
      <c r="B6" s="10" t="s">
        <v>9</v>
      </c>
      <c r="C6" s="11">
        <f>PMT(C8,C9,C7)</f>
        <v>-1409571.4034176907</v>
      </c>
      <c r="E6" s="1">
        <v>1409571</v>
      </c>
      <c r="G6" s="2"/>
    </row>
    <row r="7" spans="1:8" x14ac:dyDescent="0.2">
      <c r="B7" s="17" t="s">
        <v>2</v>
      </c>
      <c r="C7" s="18">
        <v>56000000</v>
      </c>
    </row>
    <row r="8" spans="1:8" x14ac:dyDescent="0.2">
      <c r="B8" s="5" t="s">
        <v>4</v>
      </c>
      <c r="C8" s="14">
        <v>8.0000000000000002E-3</v>
      </c>
    </row>
    <row r="9" spans="1:8" x14ac:dyDescent="0.2">
      <c r="B9" s="5" t="s">
        <v>5</v>
      </c>
      <c r="C9" s="5">
        <v>48</v>
      </c>
    </row>
  </sheetData>
  <mergeCells count="1">
    <mergeCell ref="A1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AA46-E86B-764C-A43F-920F0B8F6D74}">
  <dimension ref="A1:H9"/>
  <sheetViews>
    <sheetView zoomScale="130" zoomScaleNormal="130" workbookViewId="0">
      <selection activeCell="E6" sqref="E6"/>
    </sheetView>
  </sheetViews>
  <sheetFormatPr baseColWidth="10" defaultRowHeight="16" x14ac:dyDescent="0.2"/>
  <cols>
    <col min="3" max="3" width="15.33203125" bestFit="1" customWidth="1"/>
    <col min="5" max="5" width="13.5" bestFit="1" customWidth="1"/>
    <col min="7" max="7" width="14.33203125" bestFit="1" customWidth="1"/>
  </cols>
  <sheetData>
    <row r="1" spans="1:8" ht="16" customHeight="1" x14ac:dyDescent="0.2">
      <c r="A1" s="3" t="s">
        <v>13</v>
      </c>
      <c r="B1" s="3"/>
      <c r="C1" s="3"/>
      <c r="D1" s="3"/>
      <c r="E1" s="3"/>
      <c r="F1" s="3"/>
      <c r="G1" s="3"/>
      <c r="H1" s="3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ht="17" thickBot="1" x14ac:dyDescent="0.25">
      <c r="A4" s="3"/>
      <c r="B4" s="3"/>
      <c r="C4" s="3"/>
      <c r="D4" s="3"/>
      <c r="E4" s="3"/>
      <c r="F4" s="3"/>
      <c r="G4" s="3"/>
      <c r="H4" s="3"/>
    </row>
    <row r="5" spans="1:8" ht="17" thickBot="1" x14ac:dyDescent="0.25">
      <c r="B5" s="8" t="s">
        <v>0</v>
      </c>
      <c r="C5" s="9" t="s">
        <v>1</v>
      </c>
    </row>
    <row r="6" spans="1:8" x14ac:dyDescent="0.2">
      <c r="B6" s="12" t="s">
        <v>2</v>
      </c>
      <c r="C6" s="13">
        <v>-35000000</v>
      </c>
      <c r="E6" s="22">
        <v>15.28</v>
      </c>
      <c r="G6" s="2"/>
    </row>
    <row r="7" spans="1:8" x14ac:dyDescent="0.2">
      <c r="B7" s="17" t="s">
        <v>3</v>
      </c>
      <c r="C7" s="18">
        <v>42000000</v>
      </c>
    </row>
    <row r="8" spans="1:8" x14ac:dyDescent="0.2">
      <c r="B8" s="5" t="s">
        <v>4</v>
      </c>
      <c r="C8" s="14">
        <v>1.2E-2</v>
      </c>
    </row>
    <row r="9" spans="1:8" x14ac:dyDescent="0.2">
      <c r="B9" s="19" t="s">
        <v>5</v>
      </c>
      <c r="C9" s="19">
        <f>NPER(C8,,C6,C7)</f>
        <v>15.284442608688776</v>
      </c>
    </row>
  </sheetData>
  <mergeCells count="1">
    <mergeCell ref="A1:H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0232-C00E-4E4E-ACE6-3D5EB73D0AA1}">
  <dimension ref="A1:H9"/>
  <sheetViews>
    <sheetView zoomScale="130" zoomScaleNormal="130" workbookViewId="0">
      <selection activeCell="C8" sqref="C8"/>
    </sheetView>
  </sheetViews>
  <sheetFormatPr baseColWidth="10" defaultRowHeight="16" x14ac:dyDescent="0.2"/>
  <cols>
    <col min="3" max="3" width="15.33203125" bestFit="1" customWidth="1"/>
    <col min="5" max="5" width="13.5" bestFit="1" customWidth="1"/>
    <col min="7" max="7" width="14.33203125" bestFit="1" customWidth="1"/>
  </cols>
  <sheetData>
    <row r="1" spans="1:8" ht="16" customHeight="1" x14ac:dyDescent="0.2">
      <c r="A1" s="3" t="s">
        <v>14</v>
      </c>
      <c r="B1" s="3"/>
      <c r="C1" s="3"/>
      <c r="D1" s="3"/>
      <c r="E1" s="3"/>
      <c r="F1" s="3"/>
      <c r="G1" s="3"/>
      <c r="H1" s="3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ht="17" thickBot="1" x14ac:dyDescent="0.25">
      <c r="A4" s="3"/>
      <c r="B4" s="3"/>
      <c r="C4" s="3"/>
      <c r="D4" s="3"/>
      <c r="E4" s="3"/>
      <c r="F4" s="3"/>
      <c r="G4" s="3"/>
      <c r="H4" s="3"/>
    </row>
    <row r="5" spans="1:8" ht="17" thickBot="1" x14ac:dyDescent="0.25">
      <c r="B5" s="8" t="s">
        <v>0</v>
      </c>
      <c r="C5" s="9" t="s">
        <v>1</v>
      </c>
    </row>
    <row r="6" spans="1:8" x14ac:dyDescent="0.2">
      <c r="B6" s="12" t="s">
        <v>2</v>
      </c>
      <c r="C6" s="13">
        <v>-40000000</v>
      </c>
      <c r="E6" s="23">
        <v>1.2E-2</v>
      </c>
      <c r="G6" s="2"/>
    </row>
    <row r="7" spans="1:8" x14ac:dyDescent="0.2">
      <c r="B7" s="17" t="s">
        <v>3</v>
      </c>
      <c r="C7" s="18">
        <v>46670980</v>
      </c>
    </row>
    <row r="8" spans="1:8" x14ac:dyDescent="0.2">
      <c r="B8" s="19" t="s">
        <v>4</v>
      </c>
      <c r="C8" s="20">
        <f>RATE(C9,,C6,C7)</f>
        <v>1.1935520752179312E-2</v>
      </c>
    </row>
    <row r="9" spans="1:8" x14ac:dyDescent="0.2">
      <c r="B9" s="21" t="s">
        <v>5</v>
      </c>
      <c r="C9" s="21">
        <v>13</v>
      </c>
    </row>
  </sheetData>
  <mergeCells count="1">
    <mergeCell ref="A1:H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FBE8-BE20-834F-ACC2-7D1A9E983651}">
  <dimension ref="A1:N22"/>
  <sheetViews>
    <sheetView tabSelected="1" zoomScale="130" zoomScaleNormal="130" workbookViewId="0">
      <selection activeCell="C25" sqref="C25"/>
    </sheetView>
  </sheetViews>
  <sheetFormatPr baseColWidth="10" defaultRowHeight="16" x14ac:dyDescent="0.2"/>
  <cols>
    <col min="1" max="1" width="14" customWidth="1"/>
    <col min="2" max="2" width="14.83203125" bestFit="1" customWidth="1"/>
    <col min="3" max="14" width="15" customWidth="1"/>
  </cols>
  <sheetData>
    <row r="1" spans="1:14" ht="16" customHeight="1" x14ac:dyDescent="0.2">
      <c r="A1" s="3" t="s">
        <v>15</v>
      </c>
      <c r="B1" s="3"/>
      <c r="C1" s="3"/>
      <c r="D1" s="3"/>
      <c r="E1" s="3"/>
      <c r="F1" s="3"/>
      <c r="G1" s="3"/>
      <c r="H1" s="3"/>
    </row>
    <row r="2" spans="1:14" x14ac:dyDescent="0.2">
      <c r="A2" s="3"/>
      <c r="B2" s="3"/>
      <c r="C2" s="3"/>
      <c r="D2" s="3"/>
      <c r="E2" s="3"/>
      <c r="F2" s="3"/>
      <c r="G2" s="3"/>
      <c r="H2" s="3"/>
    </row>
    <row r="3" spans="1:14" x14ac:dyDescent="0.2">
      <c r="A3" s="3"/>
      <c r="B3" s="3"/>
      <c r="C3" s="3"/>
      <c r="D3" s="3"/>
      <c r="E3" s="3"/>
      <c r="F3" s="3"/>
      <c r="G3" s="3"/>
      <c r="H3" s="3"/>
    </row>
    <row r="4" spans="1:14" x14ac:dyDescent="0.2">
      <c r="A4" s="3"/>
      <c r="B4" s="3"/>
      <c r="C4" s="3"/>
      <c r="D4" s="3"/>
      <c r="E4" s="3"/>
      <c r="F4" s="3"/>
      <c r="G4" s="3"/>
      <c r="H4" s="3"/>
    </row>
    <row r="5" spans="1:14" ht="16" customHeight="1" thickBot="1" x14ac:dyDescent="0.25">
      <c r="A5" s="28" t="s">
        <v>20</v>
      </c>
      <c r="B5" s="28"/>
      <c r="C5" s="28"/>
      <c r="D5" s="28"/>
      <c r="E5" s="28"/>
      <c r="F5" s="4"/>
      <c r="G5" s="4"/>
      <c r="H5" s="4"/>
    </row>
    <row r="6" spans="1:14" ht="17" thickBot="1" x14ac:dyDescent="0.25">
      <c r="B6" s="8" t="s">
        <v>0</v>
      </c>
      <c r="C6" s="9" t="s">
        <v>1</v>
      </c>
    </row>
    <row r="7" spans="1:14" x14ac:dyDescent="0.2">
      <c r="B7" s="10" t="s">
        <v>16</v>
      </c>
      <c r="C7" s="11">
        <f>(C10/(C11-C8))*((1+C11)^C9/(1+C8)^C9-1)</f>
        <v>515207472.07506561</v>
      </c>
      <c r="D7" s="29" t="s">
        <v>25</v>
      </c>
      <c r="E7" s="1">
        <v>515207472</v>
      </c>
      <c r="G7" s="2"/>
    </row>
    <row r="8" spans="1:14" x14ac:dyDescent="0.2">
      <c r="B8" s="17" t="s">
        <v>17</v>
      </c>
      <c r="C8" s="24">
        <v>0.05</v>
      </c>
    </row>
    <row r="9" spans="1:14" x14ac:dyDescent="0.2">
      <c r="B9" s="21" t="s">
        <v>4</v>
      </c>
      <c r="C9" s="25">
        <v>12</v>
      </c>
    </row>
    <row r="10" spans="1:14" x14ac:dyDescent="0.2">
      <c r="B10" s="21" t="s">
        <v>18</v>
      </c>
      <c r="C10" s="26">
        <v>50000000</v>
      </c>
    </row>
    <row r="11" spans="1:14" x14ac:dyDescent="0.2">
      <c r="B11" s="21" t="s">
        <v>19</v>
      </c>
      <c r="C11" s="27">
        <v>0.03</v>
      </c>
    </row>
    <row r="13" spans="1:14" x14ac:dyDescent="0.2">
      <c r="A13" s="35" t="s">
        <v>26</v>
      </c>
      <c r="B13" s="35"/>
      <c r="C13" s="35"/>
      <c r="D13" s="35"/>
      <c r="E13" s="35"/>
    </row>
    <row r="15" spans="1:14" ht="17" thickBot="1" x14ac:dyDescent="0.25">
      <c r="A15" s="33" t="s">
        <v>21</v>
      </c>
      <c r="B15" s="33">
        <v>0</v>
      </c>
      <c r="C15" s="33">
        <v>1</v>
      </c>
      <c r="D15" s="33">
        <v>2</v>
      </c>
      <c r="E15" s="33">
        <v>3</v>
      </c>
      <c r="F15" s="33">
        <v>4</v>
      </c>
      <c r="G15" s="33">
        <v>5</v>
      </c>
      <c r="H15" s="33">
        <v>6</v>
      </c>
      <c r="I15" s="33">
        <v>7</v>
      </c>
      <c r="J15" s="33">
        <v>8</v>
      </c>
      <c r="K15" s="33">
        <v>9</v>
      </c>
      <c r="L15" s="33">
        <v>10</v>
      </c>
      <c r="M15" s="33">
        <v>11</v>
      </c>
      <c r="N15" s="33">
        <v>12</v>
      </c>
    </row>
    <row r="16" spans="1:14" x14ac:dyDescent="0.2">
      <c r="A16" t="s">
        <v>22</v>
      </c>
      <c r="B16" s="1">
        <v>0</v>
      </c>
      <c r="C16" s="1">
        <v>50000000</v>
      </c>
      <c r="D16" s="1">
        <f>C16*($C$11+1)</f>
        <v>51500000</v>
      </c>
      <c r="E16" s="1">
        <f>D16*($C$11+1)</f>
        <v>53045000</v>
      </c>
      <c r="F16" s="1">
        <f t="shared" ref="F16:N16" si="0">E16*($C$11+1)</f>
        <v>54636350</v>
      </c>
      <c r="G16" s="1">
        <f t="shared" si="0"/>
        <v>56275440.5</v>
      </c>
      <c r="H16" s="1">
        <f t="shared" si="0"/>
        <v>57963703.715000004</v>
      </c>
      <c r="I16" s="1">
        <f t="shared" si="0"/>
        <v>59702614.826450005</v>
      </c>
      <c r="J16" s="1">
        <f t="shared" si="0"/>
        <v>61493693.271243505</v>
      </c>
      <c r="K16" s="1">
        <f t="shared" si="0"/>
        <v>63338504.069380812</v>
      </c>
      <c r="L16" s="1">
        <f t="shared" si="0"/>
        <v>65238659.191462241</v>
      </c>
      <c r="M16" s="1">
        <f t="shared" si="0"/>
        <v>67195818.967206106</v>
      </c>
      <c r="N16" s="1">
        <f t="shared" si="0"/>
        <v>69211693.536222294</v>
      </c>
    </row>
    <row r="17" spans="1:14" ht="17" thickBot="1" x14ac:dyDescent="0.25">
      <c r="A17" t="s">
        <v>23</v>
      </c>
      <c r="B17" s="1">
        <v>0</v>
      </c>
      <c r="C17" s="30">
        <f>-PV($C$8,C15,,C16)</f>
        <v>47619047.619047619</v>
      </c>
      <c r="D17" s="30">
        <f t="shared" ref="D17:N17" si="1">-PV($C$8,D15,,D16)</f>
        <v>46712018.140589565</v>
      </c>
      <c r="E17" s="30">
        <f t="shared" si="1"/>
        <v>45822265.414102145</v>
      </c>
      <c r="F17" s="30">
        <f t="shared" si="1"/>
        <v>44949460.358595438</v>
      </c>
      <c r="G17" s="30">
        <f t="shared" si="1"/>
        <v>44093280.161288857</v>
      </c>
      <c r="H17" s="30">
        <f t="shared" si="1"/>
        <v>43253408.158216693</v>
      </c>
      <c r="I17" s="30">
        <f t="shared" si="1"/>
        <v>42429533.717107803</v>
      </c>
      <c r="J17" s="30">
        <f t="shared" si="1"/>
        <v>41621352.122496225</v>
      </c>
      <c r="K17" s="30">
        <f t="shared" si="1"/>
        <v>40828564.463020109</v>
      </c>
      <c r="L17" s="30">
        <f t="shared" si="1"/>
        <v>40050877.520867348</v>
      </c>
      <c r="M17" s="30">
        <f t="shared" si="1"/>
        <v>39288003.663327008</v>
      </c>
      <c r="N17" s="30">
        <f t="shared" si="1"/>
        <v>38539660.736406505</v>
      </c>
    </row>
    <row r="18" spans="1:14" ht="17" thickBot="1" x14ac:dyDescent="0.25">
      <c r="A18" s="31" t="s">
        <v>24</v>
      </c>
      <c r="B18" s="34">
        <f>SUM(B17:N17)</f>
        <v>515207472.07506531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4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4" x14ac:dyDescent="0.2">
      <c r="A20" s="35" t="s">
        <v>27</v>
      </c>
      <c r="B20" s="35"/>
      <c r="C20" s="35"/>
      <c r="D20" s="35"/>
      <c r="E20" s="35"/>
      <c r="F20" s="1"/>
      <c r="G20" s="1"/>
      <c r="H20" s="1"/>
      <c r="I20" s="1"/>
      <c r="J20" s="1"/>
      <c r="K20" s="1"/>
      <c r="L20" s="1"/>
      <c r="M20" s="1"/>
    </row>
    <row r="21" spans="1:14" ht="17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4" ht="17" thickBot="1" x14ac:dyDescent="0.25">
      <c r="A22" s="31" t="s">
        <v>24</v>
      </c>
      <c r="B22" s="32">
        <f>NPV(C8,C16:N16)+B16</f>
        <v>515207472.07506531</v>
      </c>
    </row>
  </sheetData>
  <mergeCells count="4">
    <mergeCell ref="A1:H4"/>
    <mergeCell ref="A5:E5"/>
    <mergeCell ref="A13:E13"/>
    <mergeCell ref="A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Punto 1</vt:lpstr>
      <vt:lpstr>Punto 2</vt:lpstr>
      <vt:lpstr>Punto 3</vt:lpstr>
      <vt:lpstr>Punto 4</vt:lpstr>
      <vt:lpstr>Punto 5</vt:lpstr>
      <vt:lpstr>Punto 6</vt:lpstr>
      <vt:lpstr>Punto 7</vt:lpstr>
      <vt:lpstr>Punto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Young Hoyos</dc:creator>
  <cp:lastModifiedBy>Juan Manuel Young Hoyos</cp:lastModifiedBy>
  <dcterms:created xsi:type="dcterms:W3CDTF">2025-07-23T11:41:40Z</dcterms:created>
  <dcterms:modified xsi:type="dcterms:W3CDTF">2025-07-23T13:08:10Z</dcterms:modified>
</cp:coreProperties>
</file>