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ungermaster/GitHub/Youngermaster/Obsidian-Brain-Notes/EAFIT/Evaluación Financiera de Proyectos/"/>
    </mc:Choice>
  </mc:AlternateContent>
  <xr:revisionPtr revIDLastSave="0" documentId="13_ncr:1_{203FEA61-0625-5A40-8D32-5A4BF8359D94}" xr6:coauthVersionLast="47" xr6:coauthVersionMax="47" xr10:uidLastSave="{00000000-0000-0000-0000-000000000000}"/>
  <bookViews>
    <workbookView xWindow="0" yWindow="760" windowWidth="30240" windowHeight="18880" activeTab="2" xr2:uid="{F30614E5-2703-440C-811C-BD1664A7FCD4}"/>
  </bookViews>
  <sheets>
    <sheet name="VPN" sheetId="1" r:id="rId1"/>
    <sheet name="VPN np" sheetId="2" r:id="rId2"/>
    <sheet name="TIR" sheetId="3" r:id="rId3"/>
    <sheet name="TIR np" sheetId="4" r:id="rId4"/>
    <sheet name="TIRM" sheetId="5" r:id="rId5"/>
    <sheet name="TIRI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6" l="1"/>
  <c r="C5" i="6"/>
  <c r="D5" i="6"/>
  <c r="E5" i="6"/>
  <c r="F5" i="6"/>
  <c r="G5" i="6"/>
  <c r="H5" i="6"/>
  <c r="B5" i="6"/>
  <c r="C26" i="5"/>
  <c r="C24" i="5"/>
  <c r="B3" i="5"/>
  <c r="C5" i="5"/>
  <c r="B8" i="4"/>
  <c r="B10" i="4"/>
  <c r="B5" i="4"/>
  <c r="B3" i="4"/>
  <c r="C3" i="4" s="1"/>
  <c r="F2" i="4"/>
  <c r="E2" i="4"/>
  <c r="D2" i="4"/>
  <c r="C2" i="4"/>
  <c r="B7" i="3"/>
  <c r="B8" i="3" s="1"/>
  <c r="B8" i="2"/>
  <c r="B6" i="2"/>
  <c r="D5" i="2"/>
  <c r="E5" i="2"/>
  <c r="F5" i="2"/>
  <c r="C5" i="2"/>
  <c r="B5" i="2"/>
  <c r="D3" i="2"/>
  <c r="E3" i="2"/>
  <c r="F3" i="2" s="1"/>
  <c r="C3" i="2"/>
  <c r="B3" i="2"/>
  <c r="D2" i="2"/>
  <c r="E2" i="2"/>
  <c r="F2" i="2"/>
  <c r="C2" i="2"/>
  <c r="B8" i="1"/>
  <c r="D3" i="4" l="1"/>
  <c r="C5" i="4"/>
  <c r="D5" i="4" l="1"/>
  <c r="E3" i="4"/>
  <c r="E5" i="4" l="1"/>
  <c r="F3" i="4"/>
  <c r="F5" i="4" s="1"/>
  <c r="B6" i="4" s="1"/>
</calcChain>
</file>

<file path=xl/sharedStrings.xml><?xml version="1.0" encoding="utf-8"?>
<sst xmlns="http://schemas.openxmlformats.org/spreadsheetml/2006/main" count="39" uniqueCount="25">
  <si>
    <t>Período</t>
  </si>
  <si>
    <t>Flujo de Caja</t>
  </si>
  <si>
    <t>Tasa</t>
  </si>
  <si>
    <t>VPN</t>
  </si>
  <si>
    <t>Fecha</t>
  </si>
  <si>
    <t>Valor</t>
  </si>
  <si>
    <t>Tasa de Interés</t>
  </si>
  <si>
    <t>Días</t>
  </si>
  <si>
    <t>Días Acumulados</t>
  </si>
  <si>
    <t>VP (método 1)</t>
  </si>
  <si>
    <t>VP (método 2)</t>
  </si>
  <si>
    <t>TIR</t>
  </si>
  <si>
    <t>Es Efectiva anual</t>
  </si>
  <si>
    <t>Tasa Financiera</t>
  </si>
  <si>
    <t>Tasa de financiación (Ck)</t>
  </si>
  <si>
    <t>Tasa de reinversión (ke)</t>
  </si>
  <si>
    <t>TIRM</t>
  </si>
  <si>
    <t>TER</t>
  </si>
  <si>
    <t>Flujo de Caja A</t>
  </si>
  <si>
    <t>Flujo de Caja B</t>
  </si>
  <si>
    <t>Diferencia</t>
  </si>
  <si>
    <t>TIRI</t>
  </si>
  <si>
    <t>TIO (Ck)</t>
  </si>
  <si>
    <t>Respuesta:</t>
  </si>
  <si>
    <t>Alternativa que genera el Flujo de caja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</si>
</sst>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&quot;$&quot;\ #,##0.00"/>
    <numFmt numFmtId="167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14" fontId="0" fillId="0" borderId="1" xfId="0" applyNumberFormat="1" applyBorder="1"/>
    <xf numFmtId="165" fontId="0" fillId="0" borderId="1" xfId="1" applyFont="1" applyBorder="1"/>
    <xf numFmtId="165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vertical="center" wrapText="1"/>
    </xf>
    <xf numFmtId="0" fontId="0" fillId="2" borderId="0" xfId="0" applyFill="1"/>
    <xf numFmtId="9" fontId="0" fillId="0" borderId="1" xfId="0" applyNumberFormat="1" applyBorder="1"/>
    <xf numFmtId="0" fontId="0" fillId="0" borderId="3" xfId="0" applyBorder="1"/>
    <xf numFmtId="165" fontId="0" fillId="0" borderId="3" xfId="1" applyFont="1" applyBorder="1"/>
    <xf numFmtId="0" fontId="0" fillId="0" borderId="2" xfId="0" applyBorder="1"/>
    <xf numFmtId="9" fontId="0" fillId="0" borderId="0" xfId="0" applyNumberFormat="1"/>
    <xf numFmtId="44" fontId="0" fillId="0" borderId="0" xfId="0" applyNumberFormat="1"/>
    <xf numFmtId="42" fontId="0" fillId="0" borderId="0" xfId="2" applyFont="1"/>
    <xf numFmtId="167" fontId="0" fillId="0" borderId="0" xfId="0" applyNumberFormat="1"/>
    <xf numFmtId="10" fontId="0" fillId="0" borderId="0" xfId="0" applyNumberFormat="1"/>
    <xf numFmtId="166" fontId="2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3">
    <cellStyle name="Currency" xfId="1" builtinId="4"/>
    <cellStyle name="Currency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</a:t>
            </a:r>
            <a:r>
              <a:rPr lang="en-US" baseline="0"/>
              <a:t> Presente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TIRM!$B$6:$B$16</c:f>
              <c:numCache>
                <c:formatCode>0%</c:formatCode>
                <c:ptCount val="11"/>
                <c:pt idx="0">
                  <c:v>-0.05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0.2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0.4</c:v>
                </c:pt>
                <c:pt idx="10">
                  <c:v>0.45</c:v>
                </c:pt>
              </c:numCache>
            </c:numRef>
          </c:xVal>
          <c:yVal>
            <c:numRef>
              <c:f>TIRM!$C$6:$C$16</c:f>
              <c:numCache>
                <c:formatCode>_("$"* #,##0_);_("$"* \(#,##0\);_("$"* "-"_);_(@_)</c:formatCode>
                <c:ptCount val="11"/>
                <c:pt idx="0">
                  <c:v>-13476.003988531971</c:v>
                </c:pt>
                <c:pt idx="1">
                  <c:v>0</c:v>
                </c:pt>
                <c:pt idx="2">
                  <c:v>7382.7557153949019</c:v>
                </c:pt>
                <c:pt idx="3">
                  <c:v>10778.697431248482</c:v>
                </c:pt>
                <c:pt idx="4">
                  <c:v>11567.525223562523</c:v>
                </c:pt>
                <c:pt idx="5">
                  <c:v>10663.580246913611</c:v>
                </c:pt>
                <c:pt idx="6">
                  <c:v>8678.3999999999942</c:v>
                </c:pt>
                <c:pt idx="7">
                  <c:v>6023.7063451236609</c:v>
                </c:pt>
                <c:pt idx="8">
                  <c:v>2977.7487581458263</c:v>
                </c:pt>
                <c:pt idx="9">
                  <c:v>-271.31552329385886</c:v>
                </c:pt>
                <c:pt idx="10">
                  <c:v>-3596.6741794913396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D2-504E-92E8-22747464A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726448"/>
        <c:axId val="916728160"/>
      </c:scatterChart>
      <c:valAx>
        <c:axId val="91672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916728160"/>
        <c:crosses val="autoZero"/>
        <c:crossBetween val="midCat"/>
      </c:valAx>
      <c:valAx>
        <c:axId val="91672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91672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26146</xdr:colOff>
      <xdr:row>4</xdr:row>
      <xdr:rowOff>14193</xdr:rowOff>
    </xdr:from>
    <xdr:to>
      <xdr:col>10</xdr:col>
      <xdr:colOff>0</xdr:colOff>
      <xdr:row>22</xdr:row>
      <xdr:rowOff>194235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593A00-00F1-C9CE-98A6-7B1D5E10D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BB336-7FA4-4B66-90DC-34D071FE43B6}">
  <dimension ref="A3:G8"/>
  <sheetViews>
    <sheetView workbookViewId="0">
      <selection activeCell="F9" sqref="F9"/>
    </sheetView>
  </sheetViews>
  <sheetFormatPr baseColWidth="10" defaultRowHeight="15" x14ac:dyDescent="0.2"/>
  <cols>
    <col min="1" max="1" width="12.33203125" bestFit="1" customWidth="1"/>
    <col min="2" max="7" width="15.5" bestFit="1" customWidth="1"/>
  </cols>
  <sheetData>
    <row r="3" spans="1:7" ht="16" thickBot="1" x14ac:dyDescent="0.25">
      <c r="A3" s="11" t="s">
        <v>0</v>
      </c>
      <c r="B3" s="11">
        <v>0</v>
      </c>
      <c r="C3" s="11">
        <v>1</v>
      </c>
      <c r="D3" s="11">
        <v>2</v>
      </c>
      <c r="E3" s="11">
        <v>3</v>
      </c>
      <c r="F3" s="11">
        <v>4</v>
      </c>
      <c r="G3" s="11">
        <v>5</v>
      </c>
    </row>
    <row r="4" spans="1:7" x14ac:dyDescent="0.2">
      <c r="A4" s="9" t="s">
        <v>1</v>
      </c>
      <c r="B4" s="10">
        <v>-30000000</v>
      </c>
      <c r="C4" s="10">
        <v>20000000</v>
      </c>
      <c r="D4" s="10">
        <v>10000000</v>
      </c>
      <c r="E4" s="10">
        <v>10000000</v>
      </c>
      <c r="F4" s="10">
        <v>10000000</v>
      </c>
      <c r="G4" s="10">
        <v>10000000</v>
      </c>
    </row>
    <row r="7" spans="1:7" x14ac:dyDescent="0.2">
      <c r="A7" s="1" t="s">
        <v>2</v>
      </c>
      <c r="B7" s="8">
        <v>0.12</v>
      </c>
    </row>
    <row r="8" spans="1:7" x14ac:dyDescent="0.2">
      <c r="A8" s="1" t="s">
        <v>3</v>
      </c>
      <c r="B8" s="4">
        <f>B4+NPV(B7,C4:G4)</f>
        <v>14976333.452021465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5D00-AF7B-4FCD-BD4D-7D6D2DB0CD3B}">
  <dimension ref="A1:F10"/>
  <sheetViews>
    <sheetView workbookViewId="0">
      <selection activeCell="B8" sqref="B8:F8"/>
    </sheetView>
  </sheetViews>
  <sheetFormatPr baseColWidth="10" defaultRowHeight="15" x14ac:dyDescent="0.2"/>
  <cols>
    <col min="1" max="1" width="14.33203125" bestFit="1" customWidth="1"/>
    <col min="2" max="2" width="12" bestFit="1" customWidth="1"/>
    <col min="6" max="6" width="12" bestFit="1" customWidth="1"/>
  </cols>
  <sheetData>
    <row r="1" spans="1:6" x14ac:dyDescent="0.2">
      <c r="A1" s="1" t="s">
        <v>4</v>
      </c>
      <c r="B1" s="2">
        <v>42736</v>
      </c>
      <c r="C1" s="2">
        <v>42795</v>
      </c>
      <c r="D1" s="2">
        <v>43038</v>
      </c>
      <c r="E1" s="2">
        <v>43146</v>
      </c>
      <c r="F1" s="2">
        <v>43556</v>
      </c>
    </row>
    <row r="2" spans="1:6" x14ac:dyDescent="0.2">
      <c r="A2" s="1" t="s">
        <v>7</v>
      </c>
      <c r="B2" s="1">
        <v>0</v>
      </c>
      <c r="C2" s="1">
        <f>_xlfn.DAYS(C1,B1)</f>
        <v>59</v>
      </c>
      <c r="D2" s="1">
        <f t="shared" ref="D2:F2" si="0">_xlfn.DAYS(D1,C1)</f>
        <v>243</v>
      </c>
      <c r="E2" s="1">
        <f t="shared" si="0"/>
        <v>108</v>
      </c>
      <c r="F2" s="1">
        <f t="shared" si="0"/>
        <v>410</v>
      </c>
    </row>
    <row r="3" spans="1:6" x14ac:dyDescent="0.2">
      <c r="A3" s="1" t="s">
        <v>8</v>
      </c>
      <c r="B3" s="1">
        <f>B2</f>
        <v>0</v>
      </c>
      <c r="C3" s="1">
        <f>B3+C2</f>
        <v>59</v>
      </c>
      <c r="D3" s="1">
        <f t="shared" ref="D3:F3" si="1">C3+D2</f>
        <v>302</v>
      </c>
      <c r="E3" s="1">
        <f t="shared" si="1"/>
        <v>410</v>
      </c>
      <c r="F3" s="1">
        <f t="shared" si="1"/>
        <v>820</v>
      </c>
    </row>
    <row r="4" spans="1:6" x14ac:dyDescent="0.2">
      <c r="A4" s="1" t="s">
        <v>5</v>
      </c>
      <c r="B4" s="3">
        <v>-10000</v>
      </c>
      <c r="C4" s="3">
        <v>2500</v>
      </c>
      <c r="D4" s="3">
        <v>2700</v>
      </c>
      <c r="E4" s="3">
        <v>3900</v>
      </c>
      <c r="F4" s="3">
        <v>25000</v>
      </c>
    </row>
    <row r="5" spans="1:6" x14ac:dyDescent="0.2">
      <c r="A5" s="18" t="s">
        <v>9</v>
      </c>
      <c r="B5" s="4">
        <f>B4</f>
        <v>-10000</v>
      </c>
      <c r="C5" s="5">
        <f>-PV($B$10,C3/365,,C4)</f>
        <v>2461.7794173288562</v>
      </c>
      <c r="D5" s="5">
        <f t="shared" ref="D5:F5" si="2">-PV($B$10,D3/365,,D4)</f>
        <v>2495.2586504963087</v>
      </c>
      <c r="E5" s="5">
        <f t="shared" si="2"/>
        <v>3504.0372482234943</v>
      </c>
      <c r="F5" s="5">
        <f t="shared" si="2"/>
        <v>20181.257457162526</v>
      </c>
    </row>
    <row r="6" spans="1:6" x14ac:dyDescent="0.2">
      <c r="A6" s="18"/>
      <c r="B6" s="17">
        <f>SUM(B5:F5)</f>
        <v>18642.332773211187</v>
      </c>
      <c r="C6" s="17"/>
      <c r="D6" s="17"/>
      <c r="E6" s="17"/>
      <c r="F6" s="17"/>
    </row>
    <row r="7" spans="1:6" x14ac:dyDescent="0.2">
      <c r="A7" s="7"/>
      <c r="B7" s="7"/>
      <c r="C7" s="7"/>
      <c r="D7" s="7"/>
      <c r="E7" s="7"/>
      <c r="F7" s="7"/>
    </row>
    <row r="8" spans="1:6" ht="16" x14ac:dyDescent="0.2">
      <c r="A8" s="6" t="s">
        <v>10</v>
      </c>
      <c r="B8" s="17">
        <f>XNPV(B10,B4:F4,B1:F1)</f>
        <v>18642.332773211187</v>
      </c>
      <c r="C8" s="17"/>
      <c r="D8" s="17"/>
      <c r="E8" s="17"/>
      <c r="F8" s="17"/>
    </row>
    <row r="10" spans="1:6" x14ac:dyDescent="0.2">
      <c r="A10" s="1" t="s">
        <v>6</v>
      </c>
      <c r="B10" s="8">
        <v>0.1</v>
      </c>
    </row>
  </sheetData>
  <mergeCells count="3">
    <mergeCell ref="B6:F6"/>
    <mergeCell ref="A5:A6"/>
    <mergeCell ref="B8:F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52BF4-6213-AA45-98B5-8AC07833D7DA}">
  <dimension ref="A3:G8"/>
  <sheetViews>
    <sheetView tabSelected="1" workbookViewId="0">
      <selection activeCell="C6" sqref="C6"/>
    </sheetView>
  </sheetViews>
  <sheetFormatPr baseColWidth="10" defaultRowHeight="15" x14ac:dyDescent="0.2"/>
  <cols>
    <col min="1" max="1" width="12.33203125" bestFit="1" customWidth="1"/>
    <col min="2" max="7" width="15.5" bestFit="1" customWidth="1"/>
  </cols>
  <sheetData>
    <row r="3" spans="1:7" ht="16" thickBot="1" x14ac:dyDescent="0.25">
      <c r="A3" s="11" t="s">
        <v>0</v>
      </c>
      <c r="B3" s="11">
        <v>0</v>
      </c>
      <c r="C3" s="11">
        <v>1</v>
      </c>
      <c r="D3" s="11">
        <v>2</v>
      </c>
      <c r="E3" s="11">
        <v>3</v>
      </c>
      <c r="F3" s="11">
        <v>4</v>
      </c>
      <c r="G3" s="11">
        <v>5</v>
      </c>
    </row>
    <row r="4" spans="1:7" x14ac:dyDescent="0.2">
      <c r="A4" s="9" t="s">
        <v>1</v>
      </c>
      <c r="B4" s="10">
        <v>-30000000</v>
      </c>
      <c r="C4" s="10">
        <v>20000000</v>
      </c>
      <c r="D4" s="10">
        <v>10000000</v>
      </c>
      <c r="E4" s="10">
        <v>10000000</v>
      </c>
      <c r="F4" s="10">
        <v>10000000</v>
      </c>
      <c r="G4" s="10">
        <v>10000000</v>
      </c>
    </row>
    <row r="7" spans="1:7" x14ac:dyDescent="0.2">
      <c r="A7" s="1" t="s">
        <v>11</v>
      </c>
      <c r="B7" s="8">
        <f>IRR(B4:G4)</f>
        <v>0.34143500524969039</v>
      </c>
    </row>
    <row r="8" spans="1:7" x14ac:dyDescent="0.2">
      <c r="A8" s="1" t="s">
        <v>3</v>
      </c>
      <c r="B8" s="4">
        <f>B4+NPV(B7,C4:G4)</f>
        <v>9.6857547760009766E-8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4FF7-A5CC-6A42-AB60-4E22B5950CD4}">
  <dimension ref="A1:F10"/>
  <sheetViews>
    <sheetView workbookViewId="0">
      <selection activeCell="C11" sqref="C11"/>
    </sheetView>
  </sheetViews>
  <sheetFormatPr baseColWidth="10" defaultRowHeight="15" x14ac:dyDescent="0.2"/>
  <cols>
    <col min="1" max="1" width="14.33203125" bestFit="1" customWidth="1"/>
    <col min="2" max="2" width="12" bestFit="1" customWidth="1"/>
    <col min="6" max="6" width="12" bestFit="1" customWidth="1"/>
  </cols>
  <sheetData>
    <row r="1" spans="1:6" x14ac:dyDescent="0.2">
      <c r="A1" s="1" t="s">
        <v>4</v>
      </c>
      <c r="B1" s="2">
        <v>42736</v>
      </c>
      <c r="C1" s="2">
        <v>42795</v>
      </c>
      <c r="D1" s="2">
        <v>43038</v>
      </c>
      <c r="E1" s="2">
        <v>43146</v>
      </c>
      <c r="F1" s="2">
        <v>43556</v>
      </c>
    </row>
    <row r="2" spans="1:6" x14ac:dyDescent="0.2">
      <c r="A2" s="1" t="s">
        <v>7</v>
      </c>
      <c r="B2" s="1">
        <v>0</v>
      </c>
      <c r="C2" s="1">
        <f>_xlfn.DAYS(C1,B1)</f>
        <v>59</v>
      </c>
      <c r="D2" s="1">
        <f t="shared" ref="D2:F2" si="0">_xlfn.DAYS(D1,C1)</f>
        <v>243</v>
      </c>
      <c r="E2" s="1">
        <f t="shared" si="0"/>
        <v>108</v>
      </c>
      <c r="F2" s="1">
        <f t="shared" si="0"/>
        <v>410</v>
      </c>
    </row>
    <row r="3" spans="1:6" x14ac:dyDescent="0.2">
      <c r="A3" s="1" t="s">
        <v>8</v>
      </c>
      <c r="B3" s="1">
        <f>B2</f>
        <v>0</v>
      </c>
      <c r="C3" s="1">
        <f>B3+C2</f>
        <v>59</v>
      </c>
      <c r="D3" s="1">
        <f t="shared" ref="D3:F3" si="1">C3+D2</f>
        <v>302</v>
      </c>
      <c r="E3" s="1">
        <f t="shared" si="1"/>
        <v>410</v>
      </c>
      <c r="F3" s="1">
        <f t="shared" si="1"/>
        <v>820</v>
      </c>
    </row>
    <row r="4" spans="1:6" x14ac:dyDescent="0.2">
      <c r="A4" s="1" t="s">
        <v>5</v>
      </c>
      <c r="B4" s="3">
        <v>-10000</v>
      </c>
      <c r="C4" s="3">
        <v>2500</v>
      </c>
      <c r="D4" s="3">
        <v>2700</v>
      </c>
      <c r="E4" s="3">
        <v>3900</v>
      </c>
      <c r="F4" s="3">
        <v>25000</v>
      </c>
    </row>
    <row r="5" spans="1:6" x14ac:dyDescent="0.2">
      <c r="A5" s="18" t="s">
        <v>9</v>
      </c>
      <c r="B5" s="4">
        <f>B4</f>
        <v>-10000</v>
      </c>
      <c r="C5" s="5">
        <f>-PV($B$10,C3/365,,C4)</f>
        <v>2215.0288823282567</v>
      </c>
      <c r="D5" s="5">
        <f t="shared" ref="D5:F5" si="2">-PV($B$10,D3/365,,D4)</f>
        <v>1453.1976369050967</v>
      </c>
      <c r="E5" s="5">
        <f t="shared" si="2"/>
        <v>1681.9491986271792</v>
      </c>
      <c r="F5" s="5">
        <f t="shared" si="2"/>
        <v>4649.8243043435405</v>
      </c>
    </row>
    <row r="6" spans="1:6" x14ac:dyDescent="0.2">
      <c r="A6" s="18"/>
      <c r="B6" s="17">
        <f>SUM(B5:F5)</f>
        <v>2.2204073502507526E-5</v>
      </c>
      <c r="C6" s="17"/>
      <c r="D6" s="17"/>
      <c r="E6" s="17"/>
      <c r="F6" s="17"/>
    </row>
    <row r="7" spans="1:6" x14ac:dyDescent="0.2">
      <c r="A7" s="7"/>
      <c r="B7" s="7"/>
      <c r="C7" s="7"/>
      <c r="D7" s="7"/>
      <c r="E7" s="7"/>
      <c r="F7" s="7"/>
    </row>
    <row r="8" spans="1:6" ht="16" x14ac:dyDescent="0.2">
      <c r="A8" s="6" t="s">
        <v>10</v>
      </c>
      <c r="B8" s="17">
        <f>XNPV(B10,B4:F4,B1:F1)</f>
        <v>2.2204073502507526E-5</v>
      </c>
      <c r="C8" s="17"/>
      <c r="D8" s="17"/>
      <c r="E8" s="17"/>
      <c r="F8" s="17"/>
    </row>
    <row r="10" spans="1:6" x14ac:dyDescent="0.2">
      <c r="A10" s="1" t="s">
        <v>6</v>
      </c>
      <c r="B10" s="8">
        <f>XIRR(B4:F4,B1:F1)</f>
        <v>1.114283049106598</v>
      </c>
      <c r="C10" t="s">
        <v>12</v>
      </c>
    </row>
  </sheetData>
  <mergeCells count="3">
    <mergeCell ref="A5:A6"/>
    <mergeCell ref="B6:F6"/>
    <mergeCell ref="B8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6546C-AAD0-2244-9886-B30EDC467EB8}">
  <dimension ref="A1:G26"/>
  <sheetViews>
    <sheetView zoomScale="170" zoomScaleNormal="170" workbookViewId="0">
      <selection activeCell="D19" sqref="D19"/>
    </sheetView>
  </sheetViews>
  <sheetFormatPr baseColWidth="10" defaultRowHeight="15" x14ac:dyDescent="0.2"/>
  <cols>
    <col min="2" max="2" width="15" bestFit="1" customWidth="1"/>
    <col min="4" max="4" width="12.5" bestFit="1" customWidth="1"/>
    <col min="7" max="7" width="12.5" bestFit="1" customWidth="1"/>
  </cols>
  <sheetData>
    <row r="1" spans="1:7" ht="16" thickBot="1" x14ac:dyDescent="0.25">
      <c r="A1" s="11" t="s">
        <v>0</v>
      </c>
      <c r="B1" s="11">
        <v>0</v>
      </c>
      <c r="C1" s="11">
        <v>1</v>
      </c>
      <c r="D1" s="11">
        <v>2</v>
      </c>
      <c r="E1" s="11">
        <v>3</v>
      </c>
      <c r="F1" s="11">
        <v>4</v>
      </c>
      <c r="G1" s="11">
        <v>5</v>
      </c>
    </row>
    <row r="2" spans="1:7" x14ac:dyDescent="0.2">
      <c r="A2" s="9" t="s">
        <v>1</v>
      </c>
      <c r="B2" s="10">
        <v>-80000</v>
      </c>
      <c r="C2" s="10">
        <v>0</v>
      </c>
      <c r="D2" s="10">
        <v>200000</v>
      </c>
      <c r="E2" s="10">
        <v>0</v>
      </c>
      <c r="F2" s="10">
        <v>0</v>
      </c>
      <c r="G2" s="10">
        <v>-120000</v>
      </c>
    </row>
    <row r="3" spans="1:7" x14ac:dyDescent="0.2">
      <c r="A3" t="s">
        <v>11</v>
      </c>
      <c r="B3" s="16">
        <f>IRR(B2:G2,40%)</f>
        <v>0.39589066665235606</v>
      </c>
    </row>
    <row r="5" spans="1:7" x14ac:dyDescent="0.2">
      <c r="B5" t="s">
        <v>13</v>
      </c>
      <c r="C5" s="13">
        <f>B2+NPV(C22,C2:G2)</f>
        <v>8678.3999999999942</v>
      </c>
    </row>
    <row r="6" spans="1:7" x14ac:dyDescent="0.2">
      <c r="B6" s="12">
        <v>-0.05</v>
      </c>
      <c r="C6" s="14">
        <f t="dataTable" ref="C6:C16" dt2D="0" dtr="0" r1="C22"/>
        <v>-13476.003988531971</v>
      </c>
    </row>
    <row r="7" spans="1:7" x14ac:dyDescent="0.2">
      <c r="B7" s="12">
        <v>0</v>
      </c>
      <c r="C7" s="14">
        <v>0</v>
      </c>
    </row>
    <row r="8" spans="1:7" x14ac:dyDescent="0.2">
      <c r="B8" s="12">
        <v>0.05</v>
      </c>
      <c r="C8" s="14">
        <v>7382.7557153949019</v>
      </c>
    </row>
    <row r="9" spans="1:7" x14ac:dyDescent="0.2">
      <c r="B9" s="12">
        <v>0.1</v>
      </c>
      <c r="C9" s="14">
        <v>10778.697431248482</v>
      </c>
    </row>
    <row r="10" spans="1:7" x14ac:dyDescent="0.2">
      <c r="B10" s="12">
        <v>0.15</v>
      </c>
      <c r="C10" s="14">
        <v>11567.525223562523</v>
      </c>
    </row>
    <row r="11" spans="1:7" x14ac:dyDescent="0.2">
      <c r="B11" s="12">
        <v>0.2</v>
      </c>
      <c r="C11" s="14">
        <v>10663.580246913611</v>
      </c>
    </row>
    <row r="12" spans="1:7" x14ac:dyDescent="0.2">
      <c r="B12" s="12">
        <v>0.25</v>
      </c>
      <c r="C12" s="14">
        <v>8678.3999999999942</v>
      </c>
    </row>
    <row r="13" spans="1:7" x14ac:dyDescent="0.2">
      <c r="B13" s="12">
        <v>0.3</v>
      </c>
      <c r="C13" s="14">
        <v>6023.7063451236609</v>
      </c>
    </row>
    <row r="14" spans="1:7" x14ac:dyDescent="0.2">
      <c r="B14" s="12">
        <v>0.35</v>
      </c>
      <c r="C14" s="14">
        <v>2977.7487581458263</v>
      </c>
    </row>
    <row r="15" spans="1:7" x14ac:dyDescent="0.2">
      <c r="B15" s="12">
        <v>0.4</v>
      </c>
      <c r="C15" s="14">
        <v>-271.31552329385886</v>
      </c>
    </row>
    <row r="16" spans="1:7" x14ac:dyDescent="0.2">
      <c r="B16" s="12">
        <v>0.45</v>
      </c>
      <c r="C16" s="14">
        <v>-3596.6741794913396</v>
      </c>
    </row>
    <row r="22" spans="1:3" x14ac:dyDescent="0.2">
      <c r="A22" s="19" t="s">
        <v>14</v>
      </c>
      <c r="B22" s="19"/>
      <c r="C22" s="12">
        <v>0.25</v>
      </c>
    </row>
    <row r="23" spans="1:3" x14ac:dyDescent="0.2">
      <c r="A23" s="19" t="s">
        <v>15</v>
      </c>
      <c r="B23" s="19"/>
      <c r="C23" s="12">
        <v>0.3</v>
      </c>
    </row>
    <row r="24" spans="1:3" x14ac:dyDescent="0.2">
      <c r="A24" s="20" t="s">
        <v>16</v>
      </c>
      <c r="B24" s="20"/>
      <c r="C24" s="16">
        <f>MIRR(B2:G2,C22,C23)</f>
        <v>0.2978610434714879</v>
      </c>
    </row>
    <row r="25" spans="1:3" x14ac:dyDescent="0.2">
      <c r="C25" s="16"/>
    </row>
    <row r="26" spans="1:3" x14ac:dyDescent="0.2">
      <c r="A26" s="20" t="s">
        <v>17</v>
      </c>
      <c r="B26" s="20"/>
      <c r="C26" s="16">
        <f>MIRR(B2:G2,C23,C23)</f>
        <v>0.31365398253086885</v>
      </c>
    </row>
  </sheetData>
  <mergeCells count="4">
    <mergeCell ref="A22:B22"/>
    <mergeCell ref="A23:B23"/>
    <mergeCell ref="A24:B24"/>
    <mergeCell ref="A26:B2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2229-27E5-AC49-AC80-1C90535BFECD}">
  <dimension ref="A2:H9"/>
  <sheetViews>
    <sheetView zoomScale="140" zoomScaleNormal="140" workbookViewId="0">
      <selection activeCell="B8" sqref="B8"/>
    </sheetView>
  </sheetViews>
  <sheetFormatPr baseColWidth="10" defaultRowHeight="15" x14ac:dyDescent="0.2"/>
  <cols>
    <col min="2" max="2" width="12.5" bestFit="1" customWidth="1"/>
    <col min="3" max="8" width="11.5" bestFit="1" customWidth="1"/>
  </cols>
  <sheetData>
    <row r="2" spans="1:8" ht="16" thickBot="1" x14ac:dyDescent="0.25">
      <c r="A2" s="11" t="s">
        <v>0</v>
      </c>
      <c r="B2" s="11">
        <v>0</v>
      </c>
      <c r="C2" s="11">
        <v>1</v>
      </c>
      <c r="D2" s="11">
        <v>2</v>
      </c>
      <c r="E2" s="11">
        <v>3</v>
      </c>
      <c r="F2" s="11">
        <v>4</v>
      </c>
      <c r="G2" s="11">
        <v>5</v>
      </c>
      <c r="H2" s="11">
        <v>6</v>
      </c>
    </row>
    <row r="3" spans="1:8" x14ac:dyDescent="0.2">
      <c r="A3" s="9" t="s">
        <v>18</v>
      </c>
      <c r="B3" s="10">
        <v>-500000</v>
      </c>
      <c r="C3" s="10">
        <v>-20000</v>
      </c>
      <c r="D3" s="10">
        <v>-20000</v>
      </c>
      <c r="E3" s="10">
        <v>-20000</v>
      </c>
      <c r="F3" s="10">
        <v>-20000</v>
      </c>
      <c r="G3" s="10">
        <v>-20000</v>
      </c>
      <c r="H3" s="10">
        <v>-20000</v>
      </c>
    </row>
    <row r="4" spans="1:8" x14ac:dyDescent="0.2">
      <c r="A4" s="9" t="s">
        <v>19</v>
      </c>
      <c r="B4" s="10">
        <v>-550000</v>
      </c>
      <c r="C4" s="10">
        <v>-15000</v>
      </c>
      <c r="D4" s="10">
        <v>-15000</v>
      </c>
      <c r="E4" s="10">
        <v>-15000</v>
      </c>
      <c r="F4" s="10">
        <v>-5000</v>
      </c>
      <c r="G4" s="10">
        <v>-5000</v>
      </c>
      <c r="H4" s="10">
        <v>-5000</v>
      </c>
    </row>
    <row r="5" spans="1:8" x14ac:dyDescent="0.2">
      <c r="A5" t="s">
        <v>20</v>
      </c>
      <c r="B5" s="13">
        <f>B3-B4</f>
        <v>50000</v>
      </c>
      <c r="C5" s="13">
        <f t="shared" ref="C5:H5" si="0">C3-C4</f>
        <v>-5000</v>
      </c>
      <c r="D5" s="13">
        <f t="shared" si="0"/>
        <v>-5000</v>
      </c>
      <c r="E5" s="13">
        <f t="shared" si="0"/>
        <v>-5000</v>
      </c>
      <c r="F5" s="13">
        <f t="shared" si="0"/>
        <v>-15000</v>
      </c>
      <c r="G5" s="13">
        <f t="shared" si="0"/>
        <v>-15000</v>
      </c>
      <c r="H5" s="13">
        <f t="shared" si="0"/>
        <v>-15000</v>
      </c>
    </row>
    <row r="7" spans="1:8" x14ac:dyDescent="0.2">
      <c r="A7" t="s">
        <v>21</v>
      </c>
      <c r="B7" s="15">
        <f>IRR(B5:H5)</f>
        <v>4.4386474282401833E-2</v>
      </c>
    </row>
    <row r="8" spans="1:8" x14ac:dyDescent="0.2">
      <c r="A8" t="s">
        <v>22</v>
      </c>
      <c r="B8" s="15">
        <v>0.1</v>
      </c>
    </row>
    <row r="9" spans="1:8" x14ac:dyDescent="0.2">
      <c r="A9" t="s">
        <v>23</v>
      </c>
      <c r="B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VPN</vt:lpstr>
      <vt:lpstr>VPN np</vt:lpstr>
      <vt:lpstr>TIR</vt:lpstr>
      <vt:lpstr>TIR np</vt:lpstr>
      <vt:lpstr>TIRM</vt:lpstr>
      <vt:lpstr>TIRI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Young</dc:creator>
  <cp:lastModifiedBy>Juan Manuel Young Hoyos</cp:lastModifiedBy>
  <dcterms:created xsi:type="dcterms:W3CDTF">2025-08-20T12:44:00Z</dcterms:created>
  <dcterms:modified xsi:type="dcterms:W3CDTF">2025-09-04T00:22:15Z</dcterms:modified>
</cp:coreProperties>
</file>